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2417" documentId="13_ncr:1_{623D021F-1D2B-4193-BE32-C6604CE1B927}" xr6:coauthVersionLast="47" xr6:coauthVersionMax="47" xr10:uidLastSave="{8B7A680C-4751-4911-8F2A-461E5A8B857B}"/>
  <bookViews>
    <workbookView xWindow="-120" yWindow="-120" windowWidth="29040" windowHeight="15720" firstSheet="1" activeTab="1" xr2:uid="{00000000-000D-0000-FFFF-FFFF00000000}"/>
  </bookViews>
  <sheets>
    <sheet name="General" sheetId="1" r:id="rId1"/>
    <sheet name="Corte 1" sheetId="2" r:id="rId2"/>
  </sheets>
  <definedNames>
    <definedName name="_xlnm._FilterDatabase" localSheetId="0" hidden="1">General!$A$7:$W$7</definedName>
    <definedName name="_xlnm._FilterDatabase" localSheetId="1" hidden="1">'Corte 1'!$A$7:$N$7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4" i="2"/>
  <c r="I35" i="2"/>
  <c r="I36" i="2"/>
  <c r="I37" i="2"/>
  <c r="I38" i="2"/>
  <c r="I39" i="2"/>
  <c r="I33" i="2"/>
  <c r="G39" i="2"/>
  <c r="K39" i="2"/>
  <c r="L39" i="2"/>
  <c r="M39" i="2"/>
  <c r="N39" i="2"/>
  <c r="G33" i="2"/>
  <c r="K33" i="2"/>
  <c r="L33" i="2"/>
  <c r="M33" i="2"/>
  <c r="N33" i="2"/>
  <c r="F33" i="1"/>
  <c r="N33" i="1"/>
  <c r="T33" i="1"/>
  <c r="L33" i="1" s="1"/>
  <c r="U33" i="1"/>
  <c r="V33" i="1"/>
  <c r="W33" i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4" i="2"/>
  <c r="G35" i="2"/>
  <c r="G36" i="2"/>
  <c r="G37" i="2"/>
  <c r="G38" i="2"/>
  <c r="G8" i="2"/>
  <c r="K38" i="2"/>
  <c r="L38" i="2"/>
  <c r="K37" i="2"/>
  <c r="L37" i="2"/>
  <c r="K36" i="2"/>
  <c r="L36" i="2"/>
  <c r="K35" i="2"/>
  <c r="L35" i="2"/>
  <c r="K34" i="2"/>
  <c r="L34" i="2"/>
  <c r="K32" i="2"/>
  <c r="L32" i="2"/>
  <c r="K31" i="2"/>
  <c r="L31" i="2"/>
  <c r="K30" i="2"/>
  <c r="L30" i="2"/>
  <c r="K29" i="2"/>
  <c r="L29" i="2"/>
  <c r="K28" i="2"/>
  <c r="L28" i="2"/>
  <c r="K27" i="2"/>
  <c r="L27" i="2"/>
  <c r="K26" i="2"/>
  <c r="L26" i="2"/>
  <c r="K25" i="2"/>
  <c r="L25" i="2"/>
  <c r="K24" i="2"/>
  <c r="L24" i="2"/>
  <c r="K23" i="2"/>
  <c r="L23" i="2"/>
  <c r="K22" i="2"/>
  <c r="L22" i="2"/>
  <c r="K21" i="2"/>
  <c r="L21" i="2"/>
  <c r="K20" i="2"/>
  <c r="L20" i="2"/>
  <c r="K19" i="2"/>
  <c r="L19" i="2"/>
  <c r="K18" i="2"/>
  <c r="L18" i="2"/>
  <c r="K17" i="2"/>
  <c r="L17" i="2"/>
  <c r="K16" i="2"/>
  <c r="L16" i="2"/>
  <c r="K15" i="2"/>
  <c r="L15" i="2"/>
  <c r="K14" i="2"/>
  <c r="L14" i="2"/>
  <c r="K13" i="2"/>
  <c r="L13" i="2"/>
  <c r="K12" i="2"/>
  <c r="L12" i="2"/>
  <c r="K11" i="2"/>
  <c r="L11" i="2"/>
  <c r="K10" i="2"/>
  <c r="L10" i="2"/>
  <c r="K9" i="2"/>
  <c r="L9" i="2"/>
  <c r="K8" i="2"/>
  <c r="I8" i="2"/>
  <c r="L8" i="2" s="1"/>
  <c r="T35" i="1"/>
  <c r="T29" i="1"/>
  <c r="T38" i="1"/>
  <c r="T26" i="1"/>
  <c r="N35" i="1"/>
  <c r="N29" i="1"/>
  <c r="N38" i="1"/>
  <c r="N26" i="1"/>
  <c r="L35" i="1"/>
  <c r="L29" i="1"/>
  <c r="L38" i="1"/>
  <c r="L26" i="1"/>
  <c r="F35" i="1"/>
  <c r="F29" i="1"/>
  <c r="F38" i="1"/>
  <c r="F26" i="1"/>
  <c r="F9" i="1"/>
  <c r="F10" i="1"/>
  <c r="F15" i="1"/>
  <c r="F18" i="1"/>
  <c r="F19" i="1"/>
  <c r="F27" i="1"/>
  <c r="F11" i="1"/>
  <c r="F12" i="1"/>
  <c r="F13" i="1"/>
  <c r="F14" i="1"/>
  <c r="F17" i="1"/>
  <c r="F20" i="1"/>
  <c r="F22" i="1"/>
  <c r="F23" i="1"/>
  <c r="F24" i="1"/>
  <c r="F25" i="1"/>
  <c r="F28" i="1"/>
  <c r="F30" i="1"/>
  <c r="F31" i="1"/>
  <c r="F32" i="1"/>
  <c r="F34" i="1"/>
  <c r="F36" i="1"/>
  <c r="F37" i="1"/>
  <c r="F39" i="1"/>
  <c r="F16" i="1"/>
  <c r="F21" i="1"/>
  <c r="F8" i="1"/>
  <c r="T21" i="1"/>
  <c r="L21" i="1"/>
  <c r="N21" i="1"/>
  <c r="T16" i="1"/>
  <c r="L16" i="1"/>
  <c r="N16" i="1"/>
  <c r="T39" i="1"/>
  <c r="L39" i="1"/>
  <c r="N39" i="1"/>
  <c r="T37" i="1"/>
  <c r="L37" i="1"/>
  <c r="N37" i="1"/>
  <c r="T36" i="1"/>
  <c r="L36" i="1"/>
  <c r="N36" i="1"/>
  <c r="T34" i="1"/>
  <c r="L34" i="1"/>
  <c r="N34" i="1"/>
  <c r="T32" i="1"/>
  <c r="L32" i="1"/>
  <c r="N32" i="1"/>
  <c r="T31" i="1"/>
  <c r="L31" i="1"/>
  <c r="N31" i="1"/>
  <c r="T30" i="1"/>
  <c r="L30" i="1"/>
  <c r="N30" i="1"/>
  <c r="T28" i="1"/>
  <c r="L28" i="1"/>
  <c r="N28" i="1"/>
  <c r="T25" i="1"/>
  <c r="L25" i="1"/>
  <c r="N25" i="1"/>
  <c r="T24" i="1"/>
  <c r="L24" i="1"/>
  <c r="N24" i="1"/>
  <c r="T23" i="1"/>
  <c r="L23" i="1"/>
  <c r="N23" i="1"/>
  <c r="T22" i="1"/>
  <c r="L22" i="1"/>
  <c r="N22" i="1"/>
  <c r="T20" i="1"/>
  <c r="L20" i="1"/>
  <c r="N20" i="1"/>
  <c r="T17" i="1"/>
  <c r="L17" i="1"/>
  <c r="N17" i="1"/>
  <c r="T14" i="1"/>
  <c r="L14" i="1"/>
  <c r="N14" i="1"/>
  <c r="T13" i="1"/>
  <c r="L13" i="1"/>
  <c r="N13" i="1"/>
  <c r="T12" i="1"/>
  <c r="L12" i="1"/>
  <c r="N12" i="1"/>
  <c r="T11" i="1"/>
  <c r="L11" i="1"/>
  <c r="N11" i="1"/>
  <c r="T27" i="1"/>
  <c r="L27" i="1"/>
  <c r="N27" i="1"/>
  <c r="T19" i="1"/>
  <c r="L19" i="1"/>
  <c r="N19" i="1"/>
  <c r="T18" i="1"/>
  <c r="L18" i="1"/>
  <c r="N18" i="1"/>
  <c r="T15" i="1"/>
  <c r="L15" i="1"/>
  <c r="N15" i="1"/>
  <c r="T10" i="1"/>
  <c r="L10" i="1"/>
  <c r="N10" i="1"/>
  <c r="T9" i="1"/>
  <c r="L9" i="1"/>
  <c r="N9" i="1"/>
  <c r="T8" i="1"/>
  <c r="L8" i="1"/>
  <c r="N8" i="1"/>
  <c r="U8" i="1"/>
  <c r="U9" i="1"/>
  <c r="U10" i="1"/>
  <c r="U15" i="1"/>
  <c r="U18" i="1"/>
  <c r="U19" i="1"/>
  <c r="U27" i="1"/>
  <c r="U11" i="1"/>
  <c r="U12" i="1"/>
  <c r="U13" i="1"/>
  <c r="U14" i="1"/>
  <c r="U17" i="1"/>
  <c r="U20" i="1"/>
  <c r="U22" i="1"/>
  <c r="U23" i="1"/>
  <c r="U24" i="1"/>
  <c r="U25" i="1"/>
  <c r="U28" i="1"/>
  <c r="U30" i="1"/>
  <c r="U31" i="1"/>
  <c r="U32" i="1"/>
  <c r="U34" i="1"/>
  <c r="U36" i="1"/>
  <c r="U37" i="1"/>
  <c r="U39" i="1"/>
  <c r="U16" i="1"/>
  <c r="U21" i="1"/>
  <c r="W21" i="1"/>
  <c r="V21" i="1"/>
  <c r="W16" i="1"/>
  <c r="V16" i="1"/>
  <c r="W39" i="1"/>
  <c r="V39" i="1"/>
  <c r="W37" i="1"/>
  <c r="V37" i="1"/>
  <c r="W36" i="1"/>
  <c r="V36" i="1"/>
  <c r="W34" i="1"/>
  <c r="V34" i="1"/>
  <c r="W32" i="1"/>
  <c r="V32" i="1"/>
  <c r="W31" i="1"/>
  <c r="V31" i="1"/>
  <c r="W30" i="1"/>
  <c r="V30" i="1"/>
  <c r="W28" i="1"/>
  <c r="V28" i="1"/>
  <c r="W25" i="1"/>
  <c r="V25" i="1"/>
  <c r="W24" i="1"/>
  <c r="V24" i="1"/>
  <c r="W23" i="1"/>
  <c r="V23" i="1"/>
  <c r="W22" i="1"/>
  <c r="V22" i="1"/>
  <c r="W20" i="1"/>
  <c r="V20" i="1"/>
  <c r="W17" i="1"/>
  <c r="V17" i="1"/>
  <c r="W14" i="1"/>
  <c r="V14" i="1"/>
  <c r="W13" i="1"/>
  <c r="V13" i="1"/>
  <c r="W12" i="1"/>
  <c r="V12" i="1"/>
  <c r="W11" i="1"/>
  <c r="V11" i="1"/>
  <c r="W27" i="1"/>
  <c r="V27" i="1"/>
  <c r="W19" i="1"/>
  <c r="V19" i="1"/>
  <c r="W18" i="1"/>
  <c r="V18" i="1"/>
  <c r="W15" i="1"/>
  <c r="V15" i="1"/>
  <c r="W10" i="1"/>
  <c r="V10" i="1"/>
  <c r="W9" i="1"/>
  <c r="V9" i="1"/>
  <c r="W8" i="1"/>
  <c r="V8" i="1"/>
  <c r="U26" i="1"/>
  <c r="U38" i="1"/>
  <c r="U29" i="1"/>
  <c r="U35" i="1"/>
  <c r="V26" i="1"/>
  <c r="W26" i="1"/>
  <c r="V38" i="1"/>
  <c r="W38" i="1"/>
  <c r="V29" i="1"/>
  <c r="W29" i="1"/>
  <c r="V35" i="1"/>
  <c r="W35" i="1"/>
  <c r="N38" i="2" l="1"/>
  <c r="M38" i="2"/>
  <c r="N37" i="2"/>
  <c r="M37" i="2"/>
  <c r="N36" i="2"/>
  <c r="M36" i="2"/>
  <c r="N35" i="2"/>
  <c r="M35" i="2"/>
  <c r="N34" i="2"/>
  <c r="M34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</calcChain>
</file>

<file path=xl/sharedStrings.xml><?xml version="1.0" encoding="utf-8"?>
<sst xmlns="http://schemas.openxmlformats.org/spreadsheetml/2006/main" count="177" uniqueCount="89">
  <si>
    <t>Asignatura</t>
  </si>
  <si>
    <t>Matemáticas 2 (Cálculo Integral + Ecuaciones Diferenciales)</t>
  </si>
  <si>
    <t>Semestre</t>
  </si>
  <si>
    <t>2026 - 2</t>
  </si>
  <si>
    <t>Grupo</t>
  </si>
  <si>
    <t>2Q</t>
  </si>
  <si>
    <t>Docente</t>
  </si>
  <si>
    <t>David Mauricio Valoyes Porras</t>
  </si>
  <si>
    <t>Datos estudiante</t>
  </si>
  <si>
    <t>Quices</t>
  </si>
  <si>
    <t>Trabajos en clase, talleres y exposiciones</t>
  </si>
  <si>
    <t>Parcial</t>
  </si>
  <si>
    <t>Puntos extra y bonos (0,1 cada uno)</t>
  </si>
  <si>
    <t>Total bonos</t>
  </si>
  <si>
    <t>Definitiva</t>
  </si>
  <si>
    <t>Nota a sala</t>
  </si>
  <si>
    <t>Para nota aprobatoria</t>
  </si>
  <si>
    <t>No° estudiante</t>
  </si>
  <si>
    <t>Nombre estudiante</t>
  </si>
  <si>
    <t>Quiz</t>
  </si>
  <si>
    <t>Taller</t>
  </si>
  <si>
    <t>Clase</t>
  </si>
  <si>
    <t>Exposición</t>
  </si>
  <si>
    <t>Actividad o razón</t>
  </si>
  <si>
    <t>1033688472 </t>
  </si>
  <si>
    <t>ALONSO INFANTE JUAN CAMILO </t>
  </si>
  <si>
    <t>1031801406 </t>
  </si>
  <si>
    <t>ARCHILA RODRIGUEZ CRISTIAN CAMILO </t>
  </si>
  <si>
    <t>1069282442 </t>
  </si>
  <si>
    <t>ARCINIEGAS GOMEZ MARIA CAMILA </t>
  </si>
  <si>
    <t>1016951151 </t>
  </si>
  <si>
    <t>CARRILLO SARMIENTO VALERY </t>
  </si>
  <si>
    <t>1015417450 </t>
  </si>
  <si>
    <t>CONTRERAS ULLOA OSCAR ALEJANDRO </t>
  </si>
  <si>
    <t>1031811343 </t>
  </si>
  <si>
    <t>FRANCO MORALES KAREN SOFÍA </t>
  </si>
  <si>
    <t>1088944985 </t>
  </si>
  <si>
    <t>GALINDEZ MARTINEZ KAREN DAYANA </t>
  </si>
  <si>
    <t>1126644635 </t>
  </si>
  <si>
    <t>GALVIS BECERRA PAULA ANDREA </t>
  </si>
  <si>
    <t>1012364735 </t>
  </si>
  <si>
    <t>GONZALEZ NOVA ANA SOFIA </t>
  </si>
  <si>
    <t>1077340016 </t>
  </si>
  <si>
    <t>GONZALEZ PORRAS DIEGO NOE </t>
  </si>
  <si>
    <t>1034780937 </t>
  </si>
  <si>
    <t>GONZALEZ VELA DIEGO ALEXANDER </t>
  </si>
  <si>
    <t>1010962373 </t>
  </si>
  <si>
    <t>GUERRERO PARSONS DANIEL FERNANDO </t>
  </si>
  <si>
    <t>1012366448 </t>
  </si>
  <si>
    <t>JEREZ AREVALO SARA CAMILA </t>
  </si>
  <si>
    <t>1029643953 </t>
  </si>
  <si>
    <t>MARTINEZ ADAN PAULA LISETH </t>
  </si>
  <si>
    <t>1023978510 </t>
  </si>
  <si>
    <t>MARTINEZ BOHORQUEZ YURANI JESENIA </t>
  </si>
  <si>
    <t>1014991159 </t>
  </si>
  <si>
    <t>MONTOYA VASCO ISABELLA </t>
  </si>
  <si>
    <t>1027283044 </t>
  </si>
  <si>
    <t>MORENO BOHORQUEZ ORIANA GIOVANNA MANUELA </t>
  </si>
  <si>
    <t>1034779646 </t>
  </si>
  <si>
    <t>NAVAS SALAZAR PAULA SOFIA </t>
  </si>
  <si>
    <t>1019902850 </t>
  </si>
  <si>
    <t>NIÑO MARTINEZ KARLA JUANITA </t>
  </si>
  <si>
    <t>1034518096 </t>
  </si>
  <si>
    <t>OSORIO SERRANO JUANITA </t>
  </si>
  <si>
    <t>1011202799 </t>
  </si>
  <si>
    <t>OSPINA TORRES ANA SOPHIA </t>
  </si>
  <si>
    <t>1027282491 </t>
  </si>
  <si>
    <t>OSUNA NIÑO ANA MARIA </t>
  </si>
  <si>
    <t>1021398370 </t>
  </si>
  <si>
    <t>RAMIREZ MUÑOZ GABRIELA </t>
  </si>
  <si>
    <t>1021397836 </t>
  </si>
  <si>
    <t>RODRIGUEZ LAVERDE MARIA ISABEL </t>
  </si>
  <si>
    <t>1001094201 </t>
  </si>
  <si>
    <t>ROJAS GALEANO SANTIAGO </t>
  </si>
  <si>
    <t>SALAZAR MORA DYLAN SMITH</t>
  </si>
  <si>
    <t>1006847036 </t>
  </si>
  <si>
    <t>SANTAMARIA COSTAIN TANIA GRISSEL </t>
  </si>
  <si>
    <t>1011202596 </t>
  </si>
  <si>
    <t>URREGO MEDINA MARIA PAULA </t>
  </si>
  <si>
    <t>1120818459 </t>
  </si>
  <si>
    <t>VARGAS BAVATIVA EIMY TALIANNA </t>
  </si>
  <si>
    <t>1118541294 </t>
  </si>
  <si>
    <t>VASQUEZ TRUJILLO LINA MARIA </t>
  </si>
  <si>
    <t>1054286003 </t>
  </si>
  <si>
    <t>ZEA CASTRO DIANA VALENTINA </t>
  </si>
  <si>
    <t>1031653502 </t>
  </si>
  <si>
    <t>ZEA HERNÁNDEZ JUAN SEBASTIÁN </t>
  </si>
  <si>
    <t>Taller 1</t>
  </si>
  <si>
    <t>Taller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</si>
</sst>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Tahoma"/>
      <charset val="1"/>
    </font>
    <font>
      <sz val="10"/>
      <color rgb="FF000000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864A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3" xfId="0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4" fillId="0" borderId="5" xfId="0" applyFont="1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9" fontId="1" fillId="2" borderId="1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D8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workbookViewId="0">
      <selection activeCell="C39" sqref="A39:D39"/>
    </sheetView>
  </sheetViews>
  <sheetFormatPr defaultColWidth="9.140625" defaultRowHeight="15"/>
  <cols>
    <col min="4" max="4" width="37.140625" customWidth="1"/>
    <col min="8" max="8" width="9.42578125" customWidth="1"/>
    <col min="9" max="9" width="11" customWidth="1"/>
    <col min="14" max="18" width="16.28515625" bestFit="1" customWidth="1"/>
    <col min="19" max="19" width="16.28515625" customWidth="1"/>
    <col min="21" max="22" width="11" bestFit="1" customWidth="1"/>
    <col min="23" max="23" width="20.5703125" bestFit="1" customWidth="1"/>
  </cols>
  <sheetData>
    <row r="1" spans="1:23">
      <c r="A1" s="17" t="s">
        <v>0</v>
      </c>
      <c r="B1" s="17"/>
      <c r="C1" s="18" t="s">
        <v>1</v>
      </c>
      <c r="D1" s="18"/>
      <c r="E1" s="18"/>
      <c r="F1" s="18"/>
      <c r="G1" s="18"/>
      <c r="H1" s="18"/>
      <c r="I1" s="18"/>
    </row>
    <row r="2" spans="1:23">
      <c r="A2" s="17" t="s">
        <v>2</v>
      </c>
      <c r="B2" s="17"/>
      <c r="C2" s="18" t="s">
        <v>3</v>
      </c>
      <c r="D2" s="18"/>
      <c r="E2" s="18"/>
      <c r="F2" s="18"/>
      <c r="G2" s="18"/>
      <c r="H2" s="18"/>
      <c r="I2" s="18"/>
    </row>
    <row r="3" spans="1:23">
      <c r="A3" s="23" t="s">
        <v>4</v>
      </c>
      <c r="B3" s="24"/>
      <c r="C3" s="25" t="s">
        <v>5</v>
      </c>
      <c r="D3" s="26"/>
      <c r="E3" s="26"/>
      <c r="F3" s="26"/>
      <c r="G3" s="26"/>
      <c r="H3" s="26"/>
      <c r="I3" s="30"/>
      <c r="N3" s="12"/>
      <c r="O3" s="12"/>
      <c r="P3" s="12"/>
      <c r="Q3" s="12"/>
      <c r="R3" s="12"/>
      <c r="S3" s="12"/>
    </row>
    <row r="4" spans="1:23">
      <c r="A4" s="17" t="s">
        <v>6</v>
      </c>
      <c r="B4" s="17"/>
      <c r="C4" s="18" t="s">
        <v>7</v>
      </c>
      <c r="D4" s="18"/>
      <c r="E4" s="18"/>
      <c r="F4" s="18"/>
      <c r="G4" s="18"/>
      <c r="H4" s="18"/>
      <c r="I4" s="18"/>
    </row>
    <row r="6" spans="1:23">
      <c r="A6" s="19" t="s">
        <v>8</v>
      </c>
      <c r="B6" s="19"/>
      <c r="C6" s="19"/>
      <c r="D6" s="19"/>
      <c r="E6" s="2" t="s">
        <v>9</v>
      </c>
      <c r="F6" s="4">
        <v>0.2</v>
      </c>
      <c r="G6" s="20" t="s">
        <v>10</v>
      </c>
      <c r="H6" s="21"/>
      <c r="I6" s="21"/>
      <c r="J6" s="21"/>
      <c r="K6" s="31"/>
      <c r="L6" s="3">
        <v>0.3</v>
      </c>
      <c r="M6" s="2" t="s">
        <v>11</v>
      </c>
      <c r="N6" s="4">
        <v>0.5</v>
      </c>
      <c r="O6" s="27" t="s">
        <v>12</v>
      </c>
      <c r="P6" s="28"/>
      <c r="Q6" s="28"/>
      <c r="R6" s="28"/>
      <c r="S6" s="29"/>
      <c r="T6" s="11" t="s">
        <v>13</v>
      </c>
      <c r="U6" s="7" t="s">
        <v>14</v>
      </c>
      <c r="V6" s="7" t="s">
        <v>15</v>
      </c>
      <c r="W6" s="2" t="s">
        <v>16</v>
      </c>
    </row>
    <row r="7" spans="1:23">
      <c r="A7" s="22" t="s">
        <v>17</v>
      </c>
      <c r="B7" s="22"/>
      <c r="C7" s="22" t="s">
        <v>18</v>
      </c>
      <c r="D7" s="22"/>
      <c r="E7" s="8" t="s">
        <v>19</v>
      </c>
      <c r="F7" s="8"/>
      <c r="G7" s="8" t="s">
        <v>20</v>
      </c>
      <c r="H7" s="8" t="s">
        <v>21</v>
      </c>
      <c r="I7" s="8" t="s">
        <v>22</v>
      </c>
      <c r="J7" s="8" t="s">
        <v>20</v>
      </c>
      <c r="K7" s="8" t="s">
        <v>20</v>
      </c>
      <c r="L7" s="9"/>
      <c r="M7" s="8"/>
      <c r="N7" s="10"/>
      <c r="O7" s="10" t="s">
        <v>23</v>
      </c>
      <c r="P7" s="10" t="s">
        <v>23</v>
      </c>
      <c r="Q7" s="10" t="s">
        <v>23</v>
      </c>
      <c r="R7" s="10" t="s">
        <v>23</v>
      </c>
      <c r="S7" s="10" t="s">
        <v>23</v>
      </c>
      <c r="T7" s="10"/>
      <c r="U7" s="10"/>
      <c r="V7" s="10"/>
      <c r="W7" s="8"/>
    </row>
    <row r="8" spans="1:23">
      <c r="A8" s="14" t="s">
        <v>24</v>
      </c>
      <c r="B8" s="15"/>
      <c r="C8" s="14" t="s">
        <v>25</v>
      </c>
      <c r="D8" s="16"/>
      <c r="E8" s="13"/>
      <c r="F8" s="1">
        <f>E8*0.1</f>
        <v>0</v>
      </c>
      <c r="G8" s="1"/>
      <c r="H8" s="1"/>
      <c r="I8" s="1"/>
      <c r="J8" s="1"/>
      <c r="K8" s="1"/>
      <c r="L8" s="5" t="e">
        <f>AVERAGE(G8:K8)*0.4+T8</f>
        <v>#DIV/0!</v>
      </c>
      <c r="M8" s="1"/>
      <c r="N8" s="6">
        <f>M8*0.5</f>
        <v>0</v>
      </c>
      <c r="O8" s="6"/>
      <c r="P8" s="6"/>
      <c r="Q8" s="6"/>
      <c r="R8" s="6"/>
      <c r="S8" s="6"/>
      <c r="T8" s="6">
        <f>(SUM(O8:S8)/5)*0.3</f>
        <v>0</v>
      </c>
      <c r="U8" s="6" t="e">
        <f>N8+L8+F8</f>
        <v>#DIV/0!</v>
      </c>
      <c r="V8" s="6" t="e">
        <f>INT(U8*10)/10+IF(MOD(U8*10,1)&gt;=0.5,0.1,0)</f>
        <v>#DIV/0!</v>
      </c>
      <c r="W8" s="1" t="e">
        <f>IF(U8&lt;3,3-U8,"No aplica")</f>
        <v>#DIV/0!</v>
      </c>
    </row>
    <row r="9" spans="1:23">
      <c r="A9" s="14" t="s">
        <v>26</v>
      </c>
      <c r="B9" s="15"/>
      <c r="C9" s="14" t="s">
        <v>27</v>
      </c>
      <c r="D9" s="16"/>
      <c r="E9" s="5"/>
      <c r="F9" s="1">
        <f>E9*0.1</f>
        <v>0</v>
      </c>
      <c r="G9" s="1"/>
      <c r="H9" s="1"/>
      <c r="I9" s="1"/>
      <c r="J9" s="1"/>
      <c r="K9" s="1"/>
      <c r="L9" s="5" t="e">
        <f>AVERAGE(G9:K9)*0.4+T9</f>
        <v>#DIV/0!</v>
      </c>
      <c r="M9" s="1"/>
      <c r="N9" s="6">
        <f>M9*0.5</f>
        <v>0</v>
      </c>
      <c r="O9" s="6"/>
      <c r="P9" s="6"/>
      <c r="Q9" s="6"/>
      <c r="R9" s="6"/>
      <c r="S9" s="6"/>
      <c r="T9" s="6">
        <f>(SUM(O9:S9)/5)*0.5</f>
        <v>0</v>
      </c>
      <c r="U9" s="6" t="e">
        <f>N9+L9+F9</f>
        <v>#DIV/0!</v>
      </c>
      <c r="V9" s="6" t="e">
        <f>INT(U9*10)/10+IF(MOD(U9*10,1)&gt;=0.5,0.1,0)</f>
        <v>#DIV/0!</v>
      </c>
      <c r="W9" s="1" t="e">
        <f>IF(U9&lt;3,3-U9,"No aplica")</f>
        <v>#DIV/0!</v>
      </c>
    </row>
    <row r="10" spans="1:23">
      <c r="A10" s="14" t="s">
        <v>28</v>
      </c>
      <c r="B10" s="15"/>
      <c r="C10" s="14" t="s">
        <v>29</v>
      </c>
      <c r="D10" s="16"/>
      <c r="E10" s="5"/>
      <c r="F10" s="1">
        <f>E10*0.1</f>
        <v>0</v>
      </c>
      <c r="G10" s="1"/>
      <c r="H10" s="1"/>
      <c r="I10" s="1"/>
      <c r="J10" s="1"/>
      <c r="K10" s="1"/>
      <c r="L10" s="5" t="e">
        <f>AVERAGE(G10:K10)*0.4+T10</f>
        <v>#DIV/0!</v>
      </c>
      <c r="M10" s="1"/>
      <c r="N10" s="6">
        <f>M10*0.5</f>
        <v>0</v>
      </c>
      <c r="O10" s="6"/>
      <c r="P10" s="6"/>
      <c r="Q10" s="6"/>
      <c r="R10" s="6"/>
      <c r="S10" s="6"/>
      <c r="T10" s="6">
        <f>(SUM(O10:S10)/5)*0.5</f>
        <v>0</v>
      </c>
      <c r="U10" s="6" t="e">
        <f>N10+L10+F10</f>
        <v>#DIV/0!</v>
      </c>
      <c r="V10" s="6" t="e">
        <f>INT(U10*10)/10+IF(MOD(U10*10,1)&gt;=0.5,0.1,0)</f>
        <v>#DIV/0!</v>
      </c>
      <c r="W10" s="1" t="e">
        <f>IF(U10&lt;3,3-U10,"No aplica")</f>
        <v>#DIV/0!</v>
      </c>
    </row>
    <row r="11" spans="1:23">
      <c r="A11" s="14" t="s">
        <v>30</v>
      </c>
      <c r="B11" s="15"/>
      <c r="C11" s="14" t="s">
        <v>31</v>
      </c>
      <c r="D11" s="16"/>
      <c r="E11" s="5"/>
      <c r="F11" s="1">
        <f>E11*0.1</f>
        <v>0</v>
      </c>
      <c r="G11" s="1"/>
      <c r="H11" s="1"/>
      <c r="I11" s="1"/>
      <c r="J11" s="1"/>
      <c r="K11" s="1"/>
      <c r="L11" s="5" t="e">
        <f>AVERAGE(G11:K11)*0.4+T11</f>
        <v>#DIV/0!</v>
      </c>
      <c r="M11" s="1"/>
      <c r="N11" s="6">
        <f>M11*0.5</f>
        <v>0</v>
      </c>
      <c r="O11" s="6"/>
      <c r="P11" s="6"/>
      <c r="Q11" s="6"/>
      <c r="R11" s="6"/>
      <c r="S11" s="6"/>
      <c r="T11" s="6">
        <f>(SUM(O11:S11)/5)*0.5</f>
        <v>0</v>
      </c>
      <c r="U11" s="6" t="e">
        <f>N11+L11+F11</f>
        <v>#DIV/0!</v>
      </c>
      <c r="V11" s="6" t="e">
        <f>INT(U11*10)/10+IF(MOD(U11*10,1)&gt;=0.5,0.1,0)</f>
        <v>#DIV/0!</v>
      </c>
      <c r="W11" s="1" t="e">
        <f>IF(U11&lt;3,3-U11,"No aplica")</f>
        <v>#DIV/0!</v>
      </c>
    </row>
    <row r="12" spans="1:23">
      <c r="A12" s="14" t="s">
        <v>32</v>
      </c>
      <c r="B12" s="15"/>
      <c r="C12" s="14" t="s">
        <v>33</v>
      </c>
      <c r="D12" s="16"/>
      <c r="E12" s="5"/>
      <c r="F12" s="1">
        <f>E12*0.1</f>
        <v>0</v>
      </c>
      <c r="G12" s="1"/>
      <c r="H12" s="1"/>
      <c r="I12" s="1"/>
      <c r="J12" s="1"/>
      <c r="K12" s="1"/>
      <c r="L12" s="5" t="e">
        <f>AVERAGE(G12:K12)*0.4+T12</f>
        <v>#DIV/0!</v>
      </c>
      <c r="M12" s="1"/>
      <c r="N12" s="6">
        <f>M12*0.5</f>
        <v>0</v>
      </c>
      <c r="O12" s="6"/>
      <c r="P12" s="6"/>
      <c r="Q12" s="6"/>
      <c r="R12" s="6"/>
      <c r="S12" s="6"/>
      <c r="T12" s="6">
        <f>(SUM(O12:S12)/5)*0.5</f>
        <v>0</v>
      </c>
      <c r="U12" s="6" t="e">
        <f>N12+L12+F12</f>
        <v>#DIV/0!</v>
      </c>
      <c r="V12" s="6" t="e">
        <f>INT(U12*10)/10+IF(MOD(U12*10,1)&gt;=0.5,0.1,0)</f>
        <v>#DIV/0!</v>
      </c>
      <c r="W12" s="1" t="e">
        <f>IF(U12&lt;3,3-U12,"No aplica")</f>
        <v>#DIV/0!</v>
      </c>
    </row>
    <row r="13" spans="1:23">
      <c r="A13" s="14" t="s">
        <v>34</v>
      </c>
      <c r="B13" s="15"/>
      <c r="C13" s="14" t="s">
        <v>35</v>
      </c>
      <c r="D13" s="16"/>
      <c r="E13" s="5"/>
      <c r="F13" s="1">
        <f>E13*0.1</f>
        <v>0</v>
      </c>
      <c r="G13" s="1"/>
      <c r="H13" s="1"/>
      <c r="I13" s="1"/>
      <c r="J13" s="1"/>
      <c r="K13" s="1"/>
      <c r="L13" s="5" t="e">
        <f>AVERAGE(G13:K13)*0.4+T13</f>
        <v>#DIV/0!</v>
      </c>
      <c r="M13" s="1"/>
      <c r="N13" s="6">
        <f>M13*0.5</f>
        <v>0</v>
      </c>
      <c r="O13" s="6"/>
      <c r="P13" s="6"/>
      <c r="Q13" s="6"/>
      <c r="R13" s="6"/>
      <c r="S13" s="6"/>
      <c r="T13" s="6">
        <f>(SUM(O13:S13)/5)*0.5</f>
        <v>0</v>
      </c>
      <c r="U13" s="6" t="e">
        <f>N13+L13+F13</f>
        <v>#DIV/0!</v>
      </c>
      <c r="V13" s="6" t="e">
        <f>INT(U13*10)/10+IF(MOD(U13*10,1)&gt;=0.5,0.1,0)</f>
        <v>#DIV/0!</v>
      </c>
      <c r="W13" s="1" t="e">
        <f>IF(U13&lt;3,3-U13,"No aplica")</f>
        <v>#DIV/0!</v>
      </c>
    </row>
    <row r="14" spans="1:23">
      <c r="A14" s="14" t="s">
        <v>36</v>
      </c>
      <c r="B14" s="15"/>
      <c r="C14" s="14" t="s">
        <v>37</v>
      </c>
      <c r="D14" s="16"/>
      <c r="E14" s="5"/>
      <c r="F14" s="1">
        <f>E14*0.1</f>
        <v>0</v>
      </c>
      <c r="G14" s="1"/>
      <c r="H14" s="1"/>
      <c r="I14" s="1"/>
      <c r="J14" s="1"/>
      <c r="K14" s="1"/>
      <c r="L14" s="5" t="e">
        <f>AVERAGE(G14:K14)*0.4+T14</f>
        <v>#DIV/0!</v>
      </c>
      <c r="M14" s="1"/>
      <c r="N14" s="6">
        <f>M14*0.5</f>
        <v>0</v>
      </c>
      <c r="O14" s="6"/>
      <c r="P14" s="6"/>
      <c r="Q14" s="6"/>
      <c r="R14" s="6"/>
      <c r="S14" s="6"/>
      <c r="T14" s="6">
        <f>(SUM(O14:S14)/5)*0.5</f>
        <v>0</v>
      </c>
      <c r="U14" s="6" t="e">
        <f>N14+L14+F14</f>
        <v>#DIV/0!</v>
      </c>
      <c r="V14" s="6" t="e">
        <f>INT(U14*10)/10+IF(MOD(U14*10,1)&gt;=0.5,0.1,0)</f>
        <v>#DIV/0!</v>
      </c>
      <c r="W14" s="1" t="e">
        <f>IF(U14&lt;3,3-U14,"No aplica")</f>
        <v>#DIV/0!</v>
      </c>
    </row>
    <row r="15" spans="1:23">
      <c r="A15" s="14" t="s">
        <v>38</v>
      </c>
      <c r="B15" s="15"/>
      <c r="C15" s="14" t="s">
        <v>39</v>
      </c>
      <c r="D15" s="16"/>
      <c r="E15" s="5"/>
      <c r="F15" s="1">
        <f>E15*0.1</f>
        <v>0</v>
      </c>
      <c r="G15" s="1"/>
      <c r="H15" s="1"/>
      <c r="I15" s="1"/>
      <c r="J15" s="1"/>
      <c r="K15" s="1"/>
      <c r="L15" s="5" t="e">
        <f>AVERAGE(G15:K15)*0.4+T15</f>
        <v>#DIV/0!</v>
      </c>
      <c r="M15" s="1"/>
      <c r="N15" s="6">
        <f>M15*0.5</f>
        <v>0</v>
      </c>
      <c r="O15" s="6"/>
      <c r="P15" s="6"/>
      <c r="Q15" s="6"/>
      <c r="R15" s="6"/>
      <c r="S15" s="6"/>
      <c r="T15" s="6">
        <f>(SUM(O15:S15)/5)*0.5</f>
        <v>0</v>
      </c>
      <c r="U15" s="6" t="e">
        <f>N15+L15+F15</f>
        <v>#DIV/0!</v>
      </c>
      <c r="V15" s="6" t="e">
        <f>INT(U15*10)/10+IF(MOD(U15*10,1)&gt;=0.5,0.1,0)</f>
        <v>#DIV/0!</v>
      </c>
      <c r="W15" s="1" t="e">
        <f>IF(U15&lt;3,3-U15,"No aplica")</f>
        <v>#DIV/0!</v>
      </c>
    </row>
    <row r="16" spans="1:23">
      <c r="A16" s="14" t="s">
        <v>40</v>
      </c>
      <c r="B16" s="15"/>
      <c r="C16" s="14" t="s">
        <v>41</v>
      </c>
      <c r="D16" s="16"/>
      <c r="E16" s="5"/>
      <c r="F16" s="1">
        <f>E16*0.1</f>
        <v>0</v>
      </c>
      <c r="G16" s="1"/>
      <c r="H16" s="1"/>
      <c r="I16" s="1"/>
      <c r="J16" s="1"/>
      <c r="K16" s="1"/>
      <c r="L16" s="5" t="e">
        <f>AVERAGE(G16:K16)*0.4+T16</f>
        <v>#DIV/0!</v>
      </c>
      <c r="M16" s="1"/>
      <c r="N16" s="6">
        <f>M16*0.5</f>
        <v>0</v>
      </c>
      <c r="O16" s="6"/>
      <c r="P16" s="6"/>
      <c r="Q16" s="6"/>
      <c r="R16" s="6"/>
      <c r="S16" s="6"/>
      <c r="T16" s="6">
        <f>(SUM(O16:S16)/5)*0.5</f>
        <v>0</v>
      </c>
      <c r="U16" s="6" t="e">
        <f>N16+L16+F16</f>
        <v>#DIV/0!</v>
      </c>
      <c r="V16" s="6" t="e">
        <f>INT(U16*10)/10+IF(MOD(U16*10,1)&gt;=0.5,0.1,0)</f>
        <v>#DIV/0!</v>
      </c>
      <c r="W16" s="1" t="e">
        <f>IF(U16&lt;3,3-U16,"No aplica")</f>
        <v>#DIV/0!</v>
      </c>
    </row>
    <row r="17" spans="1:23">
      <c r="A17" s="14" t="s">
        <v>42</v>
      </c>
      <c r="B17" s="15"/>
      <c r="C17" s="14" t="s">
        <v>43</v>
      </c>
      <c r="D17" s="16"/>
      <c r="E17" s="5"/>
      <c r="F17" s="1">
        <f>E17*0.1</f>
        <v>0</v>
      </c>
      <c r="G17" s="1"/>
      <c r="H17" s="1"/>
      <c r="I17" s="1"/>
      <c r="J17" s="1"/>
      <c r="K17" s="1"/>
      <c r="L17" s="5" t="e">
        <f>AVERAGE(G17:K17)*0.4+T17</f>
        <v>#DIV/0!</v>
      </c>
      <c r="M17" s="1"/>
      <c r="N17" s="6">
        <f>M17*0.5</f>
        <v>0</v>
      </c>
      <c r="O17" s="6"/>
      <c r="P17" s="6"/>
      <c r="Q17" s="6"/>
      <c r="R17" s="6"/>
      <c r="S17" s="6"/>
      <c r="T17" s="6">
        <f>(SUM(O17:S17)/5)*0.5</f>
        <v>0</v>
      </c>
      <c r="U17" s="6" t="e">
        <f>N17+L17+F17</f>
        <v>#DIV/0!</v>
      </c>
      <c r="V17" s="6" t="e">
        <f>INT(U17*10)/10+IF(MOD(U17*10,1)&gt;=0.5,0.1,0)</f>
        <v>#DIV/0!</v>
      </c>
      <c r="W17" s="1" t="e">
        <f>IF(U17&lt;3,3-U17,"No aplica")</f>
        <v>#DIV/0!</v>
      </c>
    </row>
    <row r="18" spans="1:23">
      <c r="A18" s="14" t="s">
        <v>44</v>
      </c>
      <c r="B18" s="15"/>
      <c r="C18" s="14" t="s">
        <v>45</v>
      </c>
      <c r="D18" s="16"/>
      <c r="E18" s="5"/>
      <c r="F18" s="1">
        <f>E18*0.1</f>
        <v>0</v>
      </c>
      <c r="G18" s="1"/>
      <c r="H18" s="1"/>
      <c r="I18" s="1"/>
      <c r="J18" s="1"/>
      <c r="K18" s="1"/>
      <c r="L18" s="5" t="e">
        <f>AVERAGE(G18:K18)*0.4+T18</f>
        <v>#DIV/0!</v>
      </c>
      <c r="M18" s="1"/>
      <c r="N18" s="6">
        <f>M18*0.5</f>
        <v>0</v>
      </c>
      <c r="O18" s="6"/>
      <c r="P18" s="6"/>
      <c r="Q18" s="6"/>
      <c r="R18" s="6"/>
      <c r="S18" s="6"/>
      <c r="T18" s="6">
        <f>(SUM(O18:S18)/5)*0.5</f>
        <v>0</v>
      </c>
      <c r="U18" s="6" t="e">
        <f>N18+L18+F18</f>
        <v>#DIV/0!</v>
      </c>
      <c r="V18" s="6" t="e">
        <f>INT(U18*10)/10+IF(MOD(U18*10,1)&gt;=0.5,0.1,0)</f>
        <v>#DIV/0!</v>
      </c>
      <c r="W18" s="1" t="e">
        <f>IF(U18&lt;3,3-U18,"No aplica")</f>
        <v>#DIV/0!</v>
      </c>
    </row>
    <row r="19" spans="1:23">
      <c r="A19" s="14" t="s">
        <v>46</v>
      </c>
      <c r="B19" s="15"/>
      <c r="C19" s="14" t="s">
        <v>47</v>
      </c>
      <c r="D19" s="16"/>
      <c r="E19" s="5"/>
      <c r="F19" s="1">
        <f>E19*0.1</f>
        <v>0</v>
      </c>
      <c r="G19" s="1"/>
      <c r="H19" s="1"/>
      <c r="I19" s="1"/>
      <c r="J19" s="1"/>
      <c r="K19" s="1"/>
      <c r="L19" s="5" t="e">
        <f>AVERAGE(G19:K19)*0.4+T19</f>
        <v>#DIV/0!</v>
      </c>
      <c r="M19" s="1"/>
      <c r="N19" s="6">
        <f>M19*0.5</f>
        <v>0</v>
      </c>
      <c r="O19" s="6"/>
      <c r="P19" s="6"/>
      <c r="Q19" s="6"/>
      <c r="R19" s="6"/>
      <c r="S19" s="6"/>
      <c r="T19" s="6">
        <f>(SUM(O19:S19)/5)*0.5</f>
        <v>0</v>
      </c>
      <c r="U19" s="6" t="e">
        <f>N19+L19+F19</f>
        <v>#DIV/0!</v>
      </c>
      <c r="V19" s="6" t="e">
        <f>INT(U19*10)/10+IF(MOD(U19*10,1)&gt;=0.5,0.1,0)</f>
        <v>#DIV/0!</v>
      </c>
      <c r="W19" s="1" t="e">
        <f>IF(U19&lt;3,3-U19,"No aplica")</f>
        <v>#DIV/0!</v>
      </c>
    </row>
    <row r="20" spans="1:23">
      <c r="A20" s="14" t="s">
        <v>48</v>
      </c>
      <c r="B20" s="15"/>
      <c r="C20" s="14" t="s">
        <v>49</v>
      </c>
      <c r="D20" s="16"/>
      <c r="E20" s="5"/>
      <c r="F20" s="1">
        <f>E20*0.1</f>
        <v>0</v>
      </c>
      <c r="G20" s="1"/>
      <c r="H20" s="1"/>
      <c r="I20" s="1"/>
      <c r="J20" s="1"/>
      <c r="K20" s="1"/>
      <c r="L20" s="5" t="e">
        <f>AVERAGE(G20:K20)*0.4+T20</f>
        <v>#DIV/0!</v>
      </c>
      <c r="M20" s="1"/>
      <c r="N20" s="6">
        <f>M20*0.5</f>
        <v>0</v>
      </c>
      <c r="O20" s="6"/>
      <c r="P20" s="6"/>
      <c r="Q20" s="6"/>
      <c r="R20" s="6"/>
      <c r="S20" s="6"/>
      <c r="T20" s="6">
        <f>(SUM(O20:S20)/5)*0.5</f>
        <v>0</v>
      </c>
      <c r="U20" s="6" t="e">
        <f>N20+L20+F20</f>
        <v>#DIV/0!</v>
      </c>
      <c r="V20" s="6" t="e">
        <f>INT(U20*10)/10+IF(MOD(U20*10,1)&gt;=0.5,0.1,0)</f>
        <v>#DIV/0!</v>
      </c>
      <c r="W20" s="1" t="e">
        <f>IF(U20&lt;3,3-U20,"No aplica")</f>
        <v>#DIV/0!</v>
      </c>
    </row>
    <row r="21" spans="1:23">
      <c r="A21" s="14" t="s">
        <v>50</v>
      </c>
      <c r="B21" s="15"/>
      <c r="C21" s="14" t="s">
        <v>51</v>
      </c>
      <c r="D21" s="16"/>
      <c r="E21" s="5"/>
      <c r="F21" s="1">
        <f>E21*0.1</f>
        <v>0</v>
      </c>
      <c r="G21" s="1"/>
      <c r="H21" s="1"/>
      <c r="I21" s="1"/>
      <c r="J21" s="1"/>
      <c r="K21" s="1"/>
      <c r="L21" s="5" t="e">
        <f>AVERAGE(G21:K21)*0.4+T21</f>
        <v>#DIV/0!</v>
      </c>
      <c r="M21" s="1"/>
      <c r="N21" s="6">
        <f>M21*0.5</f>
        <v>0</v>
      </c>
      <c r="O21" s="6"/>
      <c r="P21" s="6"/>
      <c r="Q21" s="6"/>
      <c r="R21" s="6"/>
      <c r="S21" s="6"/>
      <c r="T21" s="6">
        <f>(SUM(O21:S21)/5)*0.5</f>
        <v>0</v>
      </c>
      <c r="U21" s="6" t="e">
        <f>N21+L21+F21</f>
        <v>#DIV/0!</v>
      </c>
      <c r="V21" s="6" t="e">
        <f>INT(U21*10)/10+IF(MOD(U21*10,1)&gt;=0.5,0.1,0)</f>
        <v>#DIV/0!</v>
      </c>
      <c r="W21" s="1" t="e">
        <f>IF(U21&lt;3,3-U21,"No aplica")</f>
        <v>#DIV/0!</v>
      </c>
    </row>
    <row r="22" spans="1:23">
      <c r="A22" s="14" t="s">
        <v>52</v>
      </c>
      <c r="B22" s="15"/>
      <c r="C22" s="14" t="s">
        <v>53</v>
      </c>
      <c r="D22" s="16"/>
      <c r="E22" s="5"/>
      <c r="F22" s="1">
        <f>E22*0.1</f>
        <v>0</v>
      </c>
      <c r="G22" s="1"/>
      <c r="H22" s="1"/>
      <c r="I22" s="1"/>
      <c r="J22" s="1"/>
      <c r="K22" s="1"/>
      <c r="L22" s="5" t="e">
        <f>AVERAGE(G22:K22)*0.4+T22</f>
        <v>#DIV/0!</v>
      </c>
      <c r="M22" s="1"/>
      <c r="N22" s="6">
        <f>M22*0.5</f>
        <v>0</v>
      </c>
      <c r="O22" s="6"/>
      <c r="P22" s="6"/>
      <c r="Q22" s="6"/>
      <c r="R22" s="6"/>
      <c r="S22" s="6"/>
      <c r="T22" s="6">
        <f>(SUM(O22:S22)/5)*0.5</f>
        <v>0</v>
      </c>
      <c r="U22" s="6" t="e">
        <f>N22+L22+F22</f>
        <v>#DIV/0!</v>
      </c>
      <c r="V22" s="6" t="e">
        <f>INT(U22*10)/10+IF(MOD(U22*10,1)&gt;=0.5,0.1,0)</f>
        <v>#DIV/0!</v>
      </c>
      <c r="W22" s="1" t="e">
        <f>IF(U22&lt;3,3-U22,"No aplica")</f>
        <v>#DIV/0!</v>
      </c>
    </row>
    <row r="23" spans="1:23">
      <c r="A23" s="14" t="s">
        <v>54</v>
      </c>
      <c r="B23" s="15"/>
      <c r="C23" s="14" t="s">
        <v>55</v>
      </c>
      <c r="D23" s="16"/>
      <c r="E23" s="5"/>
      <c r="F23" s="1">
        <f>E23*0.1</f>
        <v>0</v>
      </c>
      <c r="G23" s="1"/>
      <c r="H23" s="1"/>
      <c r="I23" s="1"/>
      <c r="J23" s="1"/>
      <c r="K23" s="1"/>
      <c r="L23" s="5" t="e">
        <f>AVERAGE(G23:K23)*0.4+T23</f>
        <v>#DIV/0!</v>
      </c>
      <c r="M23" s="1"/>
      <c r="N23" s="6">
        <f>M23*0.5</f>
        <v>0</v>
      </c>
      <c r="O23" s="6"/>
      <c r="P23" s="6"/>
      <c r="Q23" s="6"/>
      <c r="R23" s="6"/>
      <c r="S23" s="6"/>
      <c r="T23" s="6">
        <f>(SUM(O23:S23)/5)*0.5</f>
        <v>0</v>
      </c>
      <c r="U23" s="6" t="e">
        <f>N23+L23+F23</f>
        <v>#DIV/0!</v>
      </c>
      <c r="V23" s="6" t="e">
        <f>INT(U23*10)/10+IF(MOD(U23*10,1)&gt;=0.5,0.1,0)</f>
        <v>#DIV/0!</v>
      </c>
      <c r="W23" s="1" t="e">
        <f>IF(U23&lt;3,3-U23,"No aplica")</f>
        <v>#DIV/0!</v>
      </c>
    </row>
    <row r="24" spans="1:23">
      <c r="A24" s="14" t="s">
        <v>56</v>
      </c>
      <c r="B24" s="15"/>
      <c r="C24" s="14" t="s">
        <v>57</v>
      </c>
      <c r="D24" s="16"/>
      <c r="E24" s="5"/>
      <c r="F24" s="1">
        <f>E24*0.1</f>
        <v>0</v>
      </c>
      <c r="G24" s="1"/>
      <c r="H24" s="1"/>
      <c r="I24" s="1"/>
      <c r="J24" s="1"/>
      <c r="K24" s="1"/>
      <c r="L24" s="5" t="e">
        <f>AVERAGE(G24:K24)*0.4+T24</f>
        <v>#DIV/0!</v>
      </c>
      <c r="M24" s="1"/>
      <c r="N24" s="6">
        <f>M24*0.5</f>
        <v>0</v>
      </c>
      <c r="O24" s="6"/>
      <c r="P24" s="6"/>
      <c r="Q24" s="6"/>
      <c r="R24" s="6"/>
      <c r="S24" s="6"/>
      <c r="T24" s="6">
        <f>(SUM(O24:S24)/5)*0.5</f>
        <v>0</v>
      </c>
      <c r="U24" s="6" t="e">
        <f>N24+L24+F24</f>
        <v>#DIV/0!</v>
      </c>
      <c r="V24" s="6" t="e">
        <f>INT(U24*10)/10+IF(MOD(U24*10,1)&gt;=0.5,0.1,0)</f>
        <v>#DIV/0!</v>
      </c>
      <c r="W24" s="1" t="e">
        <f>IF(U24&lt;3,3-U24,"No aplica")</f>
        <v>#DIV/0!</v>
      </c>
    </row>
    <row r="25" spans="1:23">
      <c r="A25" s="14" t="s">
        <v>58</v>
      </c>
      <c r="B25" s="15"/>
      <c r="C25" s="14" t="s">
        <v>59</v>
      </c>
      <c r="D25" s="16"/>
      <c r="E25" s="5"/>
      <c r="F25" s="1">
        <f>E25*0.1</f>
        <v>0</v>
      </c>
      <c r="G25" s="1"/>
      <c r="H25" s="1"/>
      <c r="I25" s="1"/>
      <c r="J25" s="1"/>
      <c r="K25" s="1"/>
      <c r="L25" s="5" t="e">
        <f>AVERAGE(G25:K25)*0.4+T25</f>
        <v>#DIV/0!</v>
      </c>
      <c r="M25" s="1"/>
      <c r="N25" s="6">
        <f>M25*0.5</f>
        <v>0</v>
      </c>
      <c r="O25" s="6"/>
      <c r="P25" s="6"/>
      <c r="Q25" s="6"/>
      <c r="R25" s="6"/>
      <c r="S25" s="6"/>
      <c r="T25" s="6">
        <f>(SUM(O25:S25)/5)*0.5</f>
        <v>0</v>
      </c>
      <c r="U25" s="6" t="e">
        <f>N25+L25+F25</f>
        <v>#DIV/0!</v>
      </c>
      <c r="V25" s="6" t="e">
        <f>INT(U25*10)/10+IF(MOD(U25*10,1)&gt;=0.5,0.1,0)</f>
        <v>#DIV/0!</v>
      </c>
      <c r="W25" s="1" t="e">
        <f>IF(U25&lt;3,3-U25,"No aplica")</f>
        <v>#DIV/0!</v>
      </c>
    </row>
    <row r="26" spans="1:23">
      <c r="A26" s="14" t="s">
        <v>60</v>
      </c>
      <c r="B26" s="15"/>
      <c r="C26" s="14" t="s">
        <v>61</v>
      </c>
      <c r="D26" s="1"/>
      <c r="E26" s="5"/>
      <c r="F26" s="1">
        <f>E26*0.1</f>
        <v>0</v>
      </c>
      <c r="G26" s="1"/>
      <c r="H26" s="1"/>
      <c r="I26" s="1"/>
      <c r="J26" s="1"/>
      <c r="K26" s="1"/>
      <c r="L26" s="5" t="e">
        <f>AVERAGE(G26:K26)*0.4+T26</f>
        <v>#DIV/0!</v>
      </c>
      <c r="M26" s="1"/>
      <c r="N26" s="6">
        <f>M26*0.5</f>
        <v>0</v>
      </c>
      <c r="O26" s="6"/>
      <c r="P26" s="6"/>
      <c r="Q26" s="6"/>
      <c r="R26" s="6"/>
      <c r="S26" s="6"/>
      <c r="T26" s="6">
        <f>(SUM(O26:S26)/5)*0.5</f>
        <v>0</v>
      </c>
      <c r="U26" s="6" t="e">
        <f>N26+L26+F26</f>
        <v>#DIV/0!</v>
      </c>
      <c r="V26" s="6" t="e">
        <f>INT(U26*10)/10+IF(MOD(U26*10,1)&gt;=0.5,0.1,0)</f>
        <v>#DIV/0!</v>
      </c>
      <c r="W26" s="1" t="e">
        <f>IF(U26&lt;3,3-U26,"No aplica")</f>
        <v>#DIV/0!</v>
      </c>
    </row>
    <row r="27" spans="1:23">
      <c r="A27" s="14" t="s">
        <v>62</v>
      </c>
      <c r="B27" s="15"/>
      <c r="C27" s="14" t="s">
        <v>63</v>
      </c>
      <c r="D27" s="16"/>
      <c r="E27" s="5"/>
      <c r="F27" s="1">
        <f>E27*0.1</f>
        <v>0</v>
      </c>
      <c r="G27" s="1"/>
      <c r="H27" s="1"/>
      <c r="I27" s="1"/>
      <c r="J27" s="1"/>
      <c r="K27" s="1"/>
      <c r="L27" s="5" t="e">
        <f>AVERAGE(G27:K27)*0.4+T27</f>
        <v>#DIV/0!</v>
      </c>
      <c r="M27" s="1"/>
      <c r="N27" s="6">
        <f>M27*0.5</f>
        <v>0</v>
      </c>
      <c r="O27" s="6"/>
      <c r="P27" s="6"/>
      <c r="Q27" s="6"/>
      <c r="R27" s="6"/>
      <c r="S27" s="6"/>
      <c r="T27" s="6">
        <f>(SUM(O27:S27)/5)*0.5</f>
        <v>0</v>
      </c>
      <c r="U27" s="6" t="e">
        <f>N27+L27+F27</f>
        <v>#DIV/0!</v>
      </c>
      <c r="V27" s="6" t="e">
        <f>INT(U27*10)/10+IF(MOD(U27*10,1)&gt;=0.5,0.1,0)</f>
        <v>#DIV/0!</v>
      </c>
      <c r="W27" s="1" t="e">
        <f>IF(U27&lt;3,3-U27,"No aplica")</f>
        <v>#DIV/0!</v>
      </c>
    </row>
    <row r="28" spans="1:23">
      <c r="A28" s="14" t="s">
        <v>64</v>
      </c>
      <c r="B28" s="15"/>
      <c r="C28" s="14" t="s">
        <v>65</v>
      </c>
      <c r="D28" s="16"/>
      <c r="E28" s="5"/>
      <c r="F28" s="1">
        <f>E28*0.1</f>
        <v>0</v>
      </c>
      <c r="G28" s="1"/>
      <c r="H28" s="1"/>
      <c r="I28" s="1"/>
      <c r="J28" s="1"/>
      <c r="K28" s="1"/>
      <c r="L28" s="5" t="e">
        <f>AVERAGE(G28:K28)*0.4+T28</f>
        <v>#DIV/0!</v>
      </c>
      <c r="M28" s="1"/>
      <c r="N28" s="6">
        <f>M28*0.5</f>
        <v>0</v>
      </c>
      <c r="O28" s="6"/>
      <c r="P28" s="6"/>
      <c r="Q28" s="6"/>
      <c r="R28" s="6"/>
      <c r="S28" s="6"/>
      <c r="T28" s="6">
        <f>(SUM(O28:S28)/5)*0.5</f>
        <v>0</v>
      </c>
      <c r="U28" s="6" t="e">
        <f>N28+L28+F28</f>
        <v>#DIV/0!</v>
      </c>
      <c r="V28" s="6" t="e">
        <f>INT(U28*10)/10+IF(MOD(U28*10,1)&gt;=0.5,0.1,0)</f>
        <v>#DIV/0!</v>
      </c>
      <c r="W28" s="1" t="e">
        <f>IF(U28&lt;3,3-U28,"No aplica")</f>
        <v>#DIV/0!</v>
      </c>
    </row>
    <row r="29" spans="1:23">
      <c r="A29" s="14" t="s">
        <v>66</v>
      </c>
      <c r="B29" s="15"/>
      <c r="C29" s="14" t="s">
        <v>67</v>
      </c>
      <c r="D29" s="1"/>
      <c r="E29" s="5"/>
      <c r="F29" s="1">
        <f>E29*0.1</f>
        <v>0</v>
      </c>
      <c r="G29" s="1"/>
      <c r="H29" s="1"/>
      <c r="I29" s="1"/>
      <c r="J29" s="1"/>
      <c r="K29" s="1"/>
      <c r="L29" s="5" t="e">
        <f>AVERAGE(G29:K29)*0.4+T29</f>
        <v>#DIV/0!</v>
      </c>
      <c r="M29" s="1"/>
      <c r="N29" s="6">
        <f>M29*0.5</f>
        <v>0</v>
      </c>
      <c r="O29" s="6"/>
      <c r="P29" s="6"/>
      <c r="Q29" s="6"/>
      <c r="R29" s="6"/>
      <c r="S29" s="6"/>
      <c r="T29" s="6">
        <f>(SUM(O29:S29)/5)*0.5</f>
        <v>0</v>
      </c>
      <c r="U29" s="6" t="e">
        <f>N29+L29+F29</f>
        <v>#DIV/0!</v>
      </c>
      <c r="V29" s="6" t="e">
        <f>INT(U29*10)/10+IF(MOD(U29*10,1)&gt;=0.5,0.1,0)</f>
        <v>#DIV/0!</v>
      </c>
      <c r="W29" s="1" t="e">
        <f>IF(U29&lt;3,3-U29,"No aplica")</f>
        <v>#DIV/0!</v>
      </c>
    </row>
    <row r="30" spans="1:23">
      <c r="A30" s="14" t="s">
        <v>68</v>
      </c>
      <c r="B30" s="15"/>
      <c r="C30" s="14" t="s">
        <v>69</v>
      </c>
      <c r="D30" s="16"/>
      <c r="E30" s="5"/>
      <c r="F30" s="1">
        <f>E30*0.1</f>
        <v>0</v>
      </c>
      <c r="G30" s="1"/>
      <c r="H30" s="1"/>
      <c r="I30" s="1"/>
      <c r="J30" s="1"/>
      <c r="K30" s="1"/>
      <c r="L30" s="5" t="e">
        <f>AVERAGE(G30:K30)*0.4+T30</f>
        <v>#DIV/0!</v>
      </c>
      <c r="M30" s="1"/>
      <c r="N30" s="6">
        <f>M30*0.5</f>
        <v>0</v>
      </c>
      <c r="O30" s="6"/>
      <c r="P30" s="6"/>
      <c r="Q30" s="6"/>
      <c r="R30" s="6"/>
      <c r="S30" s="6"/>
      <c r="T30" s="6">
        <f>(SUM(O30:S30)/5)*0.5</f>
        <v>0</v>
      </c>
      <c r="U30" s="6" t="e">
        <f>N30+L30+F30</f>
        <v>#DIV/0!</v>
      </c>
      <c r="V30" s="6" t="e">
        <f>INT(U30*10)/10+IF(MOD(U30*10,1)&gt;=0.5,0.1,0)</f>
        <v>#DIV/0!</v>
      </c>
      <c r="W30" s="1" t="e">
        <f>IF(U30&lt;3,3-U30,"No aplica")</f>
        <v>#DIV/0!</v>
      </c>
    </row>
    <row r="31" spans="1:23">
      <c r="A31" s="14" t="s">
        <v>70</v>
      </c>
      <c r="B31" s="15"/>
      <c r="C31" s="14" t="s">
        <v>71</v>
      </c>
      <c r="D31" s="16"/>
      <c r="E31" s="5"/>
      <c r="F31" s="1">
        <f>E31*0.1</f>
        <v>0</v>
      </c>
      <c r="G31" s="1"/>
      <c r="H31" s="1"/>
      <c r="I31" s="1"/>
      <c r="J31" s="1"/>
      <c r="K31" s="1"/>
      <c r="L31" s="5" t="e">
        <f>AVERAGE(G31:K31)*0.4+T31</f>
        <v>#DIV/0!</v>
      </c>
      <c r="M31" s="1"/>
      <c r="N31" s="6">
        <f>M31*0.5</f>
        <v>0</v>
      </c>
      <c r="O31" s="6"/>
      <c r="P31" s="6"/>
      <c r="Q31" s="6"/>
      <c r="R31" s="6"/>
      <c r="S31" s="6"/>
      <c r="T31" s="6">
        <f>(SUM(O31:S31)/5)*0.5</f>
        <v>0</v>
      </c>
      <c r="U31" s="6" t="e">
        <f>N31+L31+F31</f>
        <v>#DIV/0!</v>
      </c>
      <c r="V31" s="6" t="e">
        <f>INT(U31*10)/10+IF(MOD(U31*10,1)&gt;=0.5,0.1,0)</f>
        <v>#DIV/0!</v>
      </c>
      <c r="W31" s="1" t="e">
        <f>IF(U31&lt;3,3-U31,"No aplica")</f>
        <v>#DIV/0!</v>
      </c>
    </row>
    <row r="32" spans="1:23">
      <c r="A32" s="14" t="s">
        <v>72</v>
      </c>
      <c r="B32" s="15"/>
      <c r="C32" s="14" t="s">
        <v>73</v>
      </c>
      <c r="D32" s="16"/>
      <c r="E32" s="5"/>
      <c r="F32" s="1">
        <f>E32*0.1</f>
        <v>0</v>
      </c>
      <c r="G32" s="1"/>
      <c r="H32" s="1"/>
      <c r="I32" s="1"/>
      <c r="J32" s="5"/>
      <c r="K32" s="1"/>
      <c r="L32" s="5" t="e">
        <f>AVERAGE(G32:K32)*0.4+T32</f>
        <v>#DIV/0!</v>
      </c>
      <c r="M32" s="1"/>
      <c r="N32" s="6">
        <f>M32*0.5</f>
        <v>0</v>
      </c>
      <c r="O32" s="6"/>
      <c r="P32" s="6"/>
      <c r="Q32" s="6"/>
      <c r="R32" s="6"/>
      <c r="S32" s="6"/>
      <c r="T32" s="6">
        <f>(SUM(O32:S32)/5)*0.5</f>
        <v>0</v>
      </c>
      <c r="U32" s="6" t="e">
        <f>N32+L32+F32</f>
        <v>#DIV/0!</v>
      </c>
      <c r="V32" s="6" t="e">
        <f>INT(U32*10)/10+IF(MOD(U32*10,1)&gt;=0.5,0.1,0)</f>
        <v>#DIV/0!</v>
      </c>
      <c r="W32" s="1" t="e">
        <f>IF(U32&lt;3,3-U32,"No aplica")</f>
        <v>#DIV/0!</v>
      </c>
    </row>
    <row r="33" spans="1:23">
      <c r="A33" s="35">
        <v>1011098258</v>
      </c>
      <c r="B33" s="35"/>
      <c r="C33" s="35" t="s">
        <v>74</v>
      </c>
      <c r="D33" s="36"/>
      <c r="E33" s="5"/>
      <c r="F33" s="1">
        <f>E33*0.1</f>
        <v>0</v>
      </c>
      <c r="G33" s="1"/>
      <c r="H33" s="1"/>
      <c r="I33" s="1"/>
      <c r="J33" s="1"/>
      <c r="K33" s="1"/>
      <c r="L33" s="5" t="e">
        <f>AVERAGE(G33:K33)*0.4+T33</f>
        <v>#DIV/0!</v>
      </c>
      <c r="M33" s="1"/>
      <c r="N33" s="6">
        <f>M33*0.5</f>
        <v>0</v>
      </c>
      <c r="O33" s="6"/>
      <c r="P33" s="6"/>
      <c r="Q33" s="6"/>
      <c r="R33" s="6"/>
      <c r="S33" s="6"/>
      <c r="T33" s="6">
        <f>(SUM(O33:S33)/5)*0.5</f>
        <v>0</v>
      </c>
      <c r="U33" s="6" t="e">
        <f>N33+L33+F33</f>
        <v>#DIV/0!</v>
      </c>
      <c r="V33" s="6" t="e">
        <f>INT(U33*10)/10+IF(MOD(U33*10,1)&gt;=0.5,0.1,0)</f>
        <v>#DIV/0!</v>
      </c>
      <c r="W33" s="1" t="e">
        <f>IF(U33&lt;3,3-U33,"No aplica")</f>
        <v>#DIV/0!</v>
      </c>
    </row>
    <row r="34" spans="1:23">
      <c r="A34" s="14" t="s">
        <v>75</v>
      </c>
      <c r="B34" s="15"/>
      <c r="C34" s="14" t="s">
        <v>76</v>
      </c>
      <c r="D34" s="16"/>
      <c r="E34" s="5"/>
      <c r="F34" s="1">
        <f>E34*0.1</f>
        <v>0</v>
      </c>
      <c r="G34" s="1"/>
      <c r="H34" s="1"/>
      <c r="I34" s="1"/>
      <c r="J34" s="1"/>
      <c r="K34" s="1"/>
      <c r="L34" s="5" t="e">
        <f>AVERAGE(G34:K34)*0.4+T34</f>
        <v>#DIV/0!</v>
      </c>
      <c r="M34" s="1"/>
      <c r="N34" s="6">
        <f>M34*0.5</f>
        <v>0</v>
      </c>
      <c r="O34" s="6"/>
      <c r="P34" s="6"/>
      <c r="Q34" s="6"/>
      <c r="R34" s="6"/>
      <c r="S34" s="6"/>
      <c r="T34" s="6">
        <f>(SUM(O34:S34)/5)*0.5</f>
        <v>0</v>
      </c>
      <c r="U34" s="6" t="e">
        <f>N34+L34+F34</f>
        <v>#DIV/0!</v>
      </c>
      <c r="V34" s="6" t="e">
        <f>INT(U34*10)/10+IF(MOD(U34*10,1)&gt;=0.5,0.1,0)</f>
        <v>#DIV/0!</v>
      </c>
      <c r="W34" s="1" t="e">
        <f>IF(U34&lt;3,3-U34,"No aplica")</f>
        <v>#DIV/0!</v>
      </c>
    </row>
    <row r="35" spans="1:23">
      <c r="A35" s="14" t="s">
        <v>77</v>
      </c>
      <c r="B35" s="15"/>
      <c r="C35" s="14" t="s">
        <v>78</v>
      </c>
      <c r="D35" s="1"/>
      <c r="E35" s="5"/>
      <c r="F35" s="1">
        <f>E35*0.1</f>
        <v>0</v>
      </c>
      <c r="G35" s="1"/>
      <c r="H35" s="1"/>
      <c r="I35" s="1"/>
      <c r="J35" s="1"/>
      <c r="K35" s="1"/>
      <c r="L35" s="5" t="e">
        <f>AVERAGE(G35:K35)*0.4+T35</f>
        <v>#DIV/0!</v>
      </c>
      <c r="M35" s="1"/>
      <c r="N35" s="6">
        <f>M35*0.5</f>
        <v>0</v>
      </c>
      <c r="O35" s="6"/>
      <c r="P35" s="6"/>
      <c r="Q35" s="6"/>
      <c r="R35" s="6"/>
      <c r="S35" s="6"/>
      <c r="T35" s="6">
        <f>(SUM(O35:S35)/5)*0.5</f>
        <v>0</v>
      </c>
      <c r="U35" s="6" t="e">
        <f>N35+L35+F35</f>
        <v>#DIV/0!</v>
      </c>
      <c r="V35" s="6" t="e">
        <f>INT(U35*10)/10+IF(MOD(U35*10,1)&gt;=0.5,0.1,0)</f>
        <v>#DIV/0!</v>
      </c>
      <c r="W35" s="1" t="e">
        <f>IF(U35&lt;3,3-U35,"No aplica")</f>
        <v>#DIV/0!</v>
      </c>
    </row>
    <row r="36" spans="1:23">
      <c r="A36" s="14" t="s">
        <v>79</v>
      </c>
      <c r="B36" s="15"/>
      <c r="C36" s="14" t="s">
        <v>80</v>
      </c>
      <c r="D36" s="16"/>
      <c r="E36" s="5"/>
      <c r="F36" s="1">
        <f>E36*0.1</f>
        <v>0</v>
      </c>
      <c r="G36" s="1"/>
      <c r="H36" s="1"/>
      <c r="I36" s="1"/>
      <c r="J36" s="1"/>
      <c r="K36" s="1"/>
      <c r="L36" s="5" t="e">
        <f>AVERAGE(G36:K36)*0.4+T36</f>
        <v>#DIV/0!</v>
      </c>
      <c r="M36" s="1"/>
      <c r="N36" s="6">
        <f>M36*0.5</f>
        <v>0</v>
      </c>
      <c r="O36" s="6"/>
      <c r="P36" s="6"/>
      <c r="Q36" s="6"/>
      <c r="R36" s="6"/>
      <c r="S36" s="6"/>
      <c r="T36" s="6">
        <f>(SUM(O36:S36)/5)*0.5</f>
        <v>0</v>
      </c>
      <c r="U36" s="6" t="e">
        <f>N36+L36+F36</f>
        <v>#DIV/0!</v>
      </c>
      <c r="V36" s="6" t="e">
        <f>INT(U36*10)/10+IF(MOD(U36*10,1)&gt;=0.5,0.1,0)</f>
        <v>#DIV/0!</v>
      </c>
      <c r="W36" s="1" t="e">
        <f>IF(U36&lt;3,3-U36,"No aplica")</f>
        <v>#DIV/0!</v>
      </c>
    </row>
    <row r="37" spans="1:23">
      <c r="A37" s="14" t="s">
        <v>81</v>
      </c>
      <c r="B37" s="15"/>
      <c r="C37" s="14" t="s">
        <v>82</v>
      </c>
      <c r="D37" s="16"/>
      <c r="E37" s="5"/>
      <c r="F37" s="1">
        <f>E37*0.1</f>
        <v>0</v>
      </c>
      <c r="G37" s="1"/>
      <c r="H37" s="1"/>
      <c r="I37" s="1"/>
      <c r="J37" s="1"/>
      <c r="K37" s="1"/>
      <c r="L37" s="5" t="e">
        <f>AVERAGE(G37:K37)*0.4+T37</f>
        <v>#DIV/0!</v>
      </c>
      <c r="M37" s="1"/>
      <c r="N37" s="6">
        <f>M37*0.5</f>
        <v>0</v>
      </c>
      <c r="O37" s="6"/>
      <c r="P37" s="6"/>
      <c r="Q37" s="6"/>
      <c r="R37" s="6"/>
      <c r="S37" s="6"/>
      <c r="T37" s="6">
        <f>(SUM(O37:S37)/5)*0.5</f>
        <v>0</v>
      </c>
      <c r="U37" s="6" t="e">
        <f>N37+L37+F37</f>
        <v>#DIV/0!</v>
      </c>
      <c r="V37" s="6" t="e">
        <f>INT(U37*10)/10+IF(MOD(U37*10,1)&gt;=0.5,0.1,0)</f>
        <v>#DIV/0!</v>
      </c>
      <c r="W37" s="1" t="e">
        <f>IF(U37&lt;3,3-U37,"No aplica")</f>
        <v>#DIV/0!</v>
      </c>
    </row>
    <row r="38" spans="1:23">
      <c r="A38" s="32" t="s">
        <v>83</v>
      </c>
      <c r="B38" s="33"/>
      <c r="C38" s="32" t="s">
        <v>84</v>
      </c>
      <c r="D38" s="42"/>
      <c r="E38" s="34"/>
      <c r="F38" s="1">
        <f>E38*0.1</f>
        <v>0</v>
      </c>
      <c r="G38" s="1"/>
      <c r="H38" s="1"/>
      <c r="I38" s="1"/>
      <c r="J38" s="1"/>
      <c r="K38" s="1"/>
      <c r="L38" s="5" t="e">
        <f>AVERAGE(G38:K38)*0.4+T38</f>
        <v>#DIV/0!</v>
      </c>
      <c r="M38" s="1"/>
      <c r="N38" s="6">
        <f>M38*0.5</f>
        <v>0</v>
      </c>
      <c r="O38" s="6"/>
      <c r="P38" s="6"/>
      <c r="Q38" s="6"/>
      <c r="R38" s="6"/>
      <c r="S38" s="6"/>
      <c r="T38" s="6">
        <f>(SUM(O38:S38)/5)*0.5</f>
        <v>0</v>
      </c>
      <c r="U38" s="6" t="e">
        <f>N38+L38+F38</f>
        <v>#DIV/0!</v>
      </c>
      <c r="V38" s="6" t="e">
        <f>INT(U38*10)/10+IF(MOD(U38*10,1)&gt;=0.5,0.1,0)</f>
        <v>#DIV/0!</v>
      </c>
      <c r="W38" s="1" t="e">
        <f>IF(U38&lt;3,3-U38,"No aplica")</f>
        <v>#DIV/0!</v>
      </c>
    </row>
    <row r="39" spans="1:23">
      <c r="A39" s="14" t="s">
        <v>85</v>
      </c>
      <c r="B39" s="15"/>
      <c r="C39" s="14" t="s">
        <v>86</v>
      </c>
      <c r="D39" s="16"/>
      <c r="E39" s="1"/>
      <c r="F39" s="5">
        <f>E39*0.1</f>
        <v>0</v>
      </c>
      <c r="G39" s="1"/>
      <c r="H39" s="1"/>
      <c r="I39" s="1"/>
      <c r="J39" s="1"/>
      <c r="K39" s="1"/>
      <c r="L39" s="5" t="e">
        <f>AVERAGE(G39:K39)*0.4+T39</f>
        <v>#DIV/0!</v>
      </c>
      <c r="M39" s="1"/>
      <c r="N39" s="6">
        <f>M39*0.5</f>
        <v>0</v>
      </c>
      <c r="O39" s="6"/>
      <c r="P39" s="6"/>
      <c r="Q39" s="6"/>
      <c r="R39" s="6"/>
      <c r="S39" s="6"/>
      <c r="T39" s="6">
        <f>(SUM(O39:S39)/5)*0.5</f>
        <v>0</v>
      </c>
      <c r="U39" s="6" t="e">
        <f>N39+L39+F39</f>
        <v>#DIV/0!</v>
      </c>
      <c r="V39" s="6" t="e">
        <f>INT(U39*10)/10+IF(MOD(U39*10,1)&gt;=0.5,0.1,0)</f>
        <v>#DIV/0!</v>
      </c>
      <c r="W39" s="1" t="e">
        <f>IF(U39&lt;3,3-U39,"No aplica")</f>
        <v>#DIV/0!</v>
      </c>
    </row>
  </sheetData>
  <autoFilter ref="A7:W7" xr:uid="{00000000-0001-0000-0000-000000000000}">
    <filterColumn colId="0" showButton="0"/>
    <filterColumn colId="2" showButton="0"/>
    <sortState xmlns:xlrd2="http://schemas.microsoft.com/office/spreadsheetml/2017/richdata2" ref="A8:W39">
      <sortCondition ref="C7"/>
    </sortState>
  </autoFilter>
  <mergeCells count="15">
    <mergeCell ref="A39:B39"/>
    <mergeCell ref="C39:D39"/>
    <mergeCell ref="O6:S6"/>
    <mergeCell ref="A7:B7"/>
    <mergeCell ref="C7:D7"/>
    <mergeCell ref="A1:B1"/>
    <mergeCell ref="A2:B2"/>
    <mergeCell ref="A4:B4"/>
    <mergeCell ref="C1:I1"/>
    <mergeCell ref="C2:I2"/>
    <mergeCell ref="C4:I4"/>
    <mergeCell ref="C3:I3"/>
    <mergeCell ref="A3:B3"/>
    <mergeCell ref="G6:K6"/>
    <mergeCell ref="A6:D6"/>
  </mergeCells>
  <conditionalFormatting sqref="E8:E39">
    <cfRule type="expression" dxfId="18" priority="7">
      <formula>E8&lt;3</formula>
    </cfRule>
    <cfRule type="expression" dxfId="17" priority="8">
      <formula>E8&gt;=3</formula>
    </cfRule>
  </conditionalFormatting>
  <conditionalFormatting sqref="G8:K31 G32:I32 K32 G33:K39">
    <cfRule type="expression" dxfId="16" priority="16">
      <formula>G8&lt;3</formula>
    </cfRule>
  </conditionalFormatting>
  <conditionalFormatting sqref="G8:K39">
    <cfRule type="expression" dxfId="15" priority="2">
      <formula>G8&gt;=3</formula>
    </cfRule>
  </conditionalFormatting>
  <conditionalFormatting sqref="J32">
    <cfRule type="expression" dxfId="14" priority="1">
      <formula>J32&lt;3</formula>
    </cfRule>
  </conditionalFormatting>
  <conditionalFormatting sqref="M8:M39">
    <cfRule type="expression" dxfId="13" priority="13">
      <formula>M8&gt;=3</formula>
    </cfRule>
    <cfRule type="expression" dxfId="12" priority="14">
      <formula>M8&lt;3</formula>
    </cfRule>
  </conditionalFormatting>
  <conditionalFormatting sqref="O8:S39">
    <cfRule type="cellIs" dxfId="11" priority="9" operator="greaterThan">
      <formula>0</formula>
    </cfRule>
    <cfRule type="containsBlanks" dxfId="10" priority="10">
      <formula>LEN(TRIM(O8))=0</formula>
    </cfRule>
  </conditionalFormatting>
  <conditionalFormatting sqref="U8:U39">
    <cfRule type="expression" dxfId="9" priority="11">
      <formula>U8&gt;=3</formula>
    </cfRule>
    <cfRule type="expression" dxfId="8" priority="12">
      <formula>U8&lt;3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DB1A-5DCA-445F-BD6F-4F0D7B3D8F35}">
  <dimension ref="A1:N39"/>
  <sheetViews>
    <sheetView tabSelected="1" topLeftCell="K18" workbookViewId="0">
      <selection activeCell="S51" sqref="S51"/>
    </sheetView>
  </sheetViews>
  <sheetFormatPr defaultRowHeight="15"/>
  <cols>
    <col min="3" max="3" width="19.7109375" customWidth="1"/>
    <col min="4" max="4" width="23.42578125" customWidth="1"/>
    <col min="5" max="5" width="18.140625" customWidth="1"/>
    <col min="6" max="6" width="18" customWidth="1"/>
    <col min="10" max="10" width="33" bestFit="1" customWidth="1"/>
    <col min="13" max="13" width="9.28515625" customWidth="1"/>
    <col min="14" max="14" width="20.5703125" bestFit="1" customWidth="1"/>
  </cols>
  <sheetData>
    <row r="1" spans="1:14">
      <c r="A1" s="17" t="s">
        <v>0</v>
      </c>
      <c r="B1" s="17"/>
      <c r="C1" s="18" t="s">
        <v>1</v>
      </c>
      <c r="D1" s="18"/>
      <c r="E1" s="18"/>
      <c r="F1" s="18"/>
    </row>
    <row r="2" spans="1:14">
      <c r="A2" s="17" t="s">
        <v>2</v>
      </c>
      <c r="B2" s="17"/>
      <c r="C2" s="18" t="s">
        <v>3</v>
      </c>
      <c r="D2" s="18"/>
      <c r="E2" s="18"/>
      <c r="F2" s="18"/>
    </row>
    <row r="3" spans="1:14">
      <c r="A3" s="23" t="s">
        <v>4</v>
      </c>
      <c r="B3" s="24"/>
      <c r="C3" s="25" t="s">
        <v>5</v>
      </c>
      <c r="D3" s="26"/>
      <c r="E3" s="26"/>
      <c r="F3" s="26"/>
      <c r="I3" s="12"/>
      <c r="J3" s="12"/>
    </row>
    <row r="4" spans="1:14">
      <c r="A4" s="17" t="s">
        <v>6</v>
      </c>
      <c r="B4" s="17"/>
      <c r="C4" s="18" t="s">
        <v>7</v>
      </c>
      <c r="D4" s="18"/>
      <c r="E4" s="18"/>
      <c r="F4" s="18"/>
    </row>
    <row r="6" spans="1:14">
      <c r="A6" s="19" t="s">
        <v>8</v>
      </c>
      <c r="B6" s="19"/>
      <c r="C6" s="19"/>
      <c r="D6" s="19"/>
      <c r="E6" s="19" t="s">
        <v>10</v>
      </c>
      <c r="F6" s="19"/>
      <c r="G6" s="37">
        <v>0.5</v>
      </c>
      <c r="H6" s="2" t="s">
        <v>11</v>
      </c>
      <c r="I6" s="37">
        <v>0.5</v>
      </c>
      <c r="J6" s="37" t="s">
        <v>12</v>
      </c>
      <c r="K6" s="37" t="s">
        <v>13</v>
      </c>
      <c r="L6" s="2" t="s">
        <v>14</v>
      </c>
      <c r="M6" s="2" t="s">
        <v>15</v>
      </c>
      <c r="N6" s="2" t="s">
        <v>16</v>
      </c>
    </row>
    <row r="7" spans="1:14">
      <c r="A7" s="38" t="s">
        <v>17</v>
      </c>
      <c r="B7" s="38"/>
      <c r="C7" s="38" t="s">
        <v>18</v>
      </c>
      <c r="D7" s="38"/>
      <c r="E7" s="39" t="s">
        <v>87</v>
      </c>
      <c r="F7" s="39" t="s">
        <v>88</v>
      </c>
      <c r="G7" s="40"/>
      <c r="H7" s="39"/>
      <c r="I7" s="41"/>
      <c r="J7" s="41" t="s">
        <v>23</v>
      </c>
      <c r="K7" s="41"/>
      <c r="L7" s="41"/>
      <c r="M7" s="41"/>
      <c r="N7" s="39"/>
    </row>
    <row r="8" spans="1:14">
      <c r="A8" s="14" t="s">
        <v>24</v>
      </c>
      <c r="B8" s="15"/>
      <c r="C8" s="14" t="s">
        <v>25</v>
      </c>
      <c r="D8" s="16"/>
      <c r="E8" s="1">
        <v>4.8</v>
      </c>
      <c r="F8" s="1">
        <v>4.4000000000000004</v>
      </c>
      <c r="G8" s="5">
        <f>AVERAGE(E8:F8)*0.5</f>
        <v>2.2999999999999998</v>
      </c>
      <c r="H8" s="1">
        <v>3</v>
      </c>
      <c r="I8" s="6">
        <f>H8*0.5</f>
        <v>1.5</v>
      </c>
      <c r="J8" s="6"/>
      <c r="K8" s="6">
        <f>(SUM(J8:J8)/5)*0.3</f>
        <v>0</v>
      </c>
      <c r="L8" s="6">
        <f>I8+G8</f>
        <v>3.8</v>
      </c>
      <c r="M8" s="6">
        <f>INT(L8*10)/10+IF(MOD(L8*10,1)&gt;=0.5,0.1,0)</f>
        <v>3.8</v>
      </c>
      <c r="N8" s="1" t="str">
        <f>IF(L8&lt;3,3-L8,"No aplica")</f>
        <v>No aplica</v>
      </c>
    </row>
    <row r="9" spans="1:14">
      <c r="A9" s="14" t="s">
        <v>26</v>
      </c>
      <c r="B9" s="15"/>
      <c r="C9" s="14" t="s">
        <v>27</v>
      </c>
      <c r="D9" s="16"/>
      <c r="E9" s="1">
        <v>4.5</v>
      </c>
      <c r="F9" s="1">
        <v>5</v>
      </c>
      <c r="G9" s="5">
        <f>AVERAGE(E9:F9)*0.5</f>
        <v>2.375</v>
      </c>
      <c r="H9" s="1">
        <v>3.6</v>
      </c>
      <c r="I9" s="6">
        <f>H9*0.5</f>
        <v>1.8</v>
      </c>
      <c r="J9" s="6"/>
      <c r="K9" s="6">
        <f>(SUM(J9:J9)/5)*0.5</f>
        <v>0</v>
      </c>
      <c r="L9" s="6">
        <f>I9+G9</f>
        <v>4.1749999999999998</v>
      </c>
      <c r="M9" s="6">
        <f>INT(L9*10)/10+IF(MOD(L9*10,1)&gt;=0.5,0.1,0)</f>
        <v>4.1999999999999993</v>
      </c>
      <c r="N9" s="1" t="str">
        <f>IF(L9&lt;3,3-L9,"No aplica")</f>
        <v>No aplica</v>
      </c>
    </row>
    <row r="10" spans="1:14">
      <c r="A10" s="14" t="s">
        <v>28</v>
      </c>
      <c r="B10" s="15"/>
      <c r="C10" s="14" t="s">
        <v>29</v>
      </c>
      <c r="D10" s="16"/>
      <c r="E10" s="1">
        <v>4.8</v>
      </c>
      <c r="F10" s="1">
        <v>5</v>
      </c>
      <c r="G10" s="5">
        <f>AVERAGE(E10:F10)*0.5</f>
        <v>2.4500000000000002</v>
      </c>
      <c r="H10" s="1">
        <v>4.3</v>
      </c>
      <c r="I10" s="6">
        <f>H10*0.5</f>
        <v>2.15</v>
      </c>
      <c r="J10" s="6"/>
      <c r="K10" s="6">
        <f>(SUM(J10:J10)/5)*0.5</f>
        <v>0</v>
      </c>
      <c r="L10" s="6">
        <f>I10+G10</f>
        <v>4.5999999999999996</v>
      </c>
      <c r="M10" s="6">
        <f>INT(L10*10)/10+IF(MOD(L10*10,1)&gt;=0.5,0.1,0)</f>
        <v>4.5999999999999996</v>
      </c>
      <c r="N10" s="1" t="str">
        <f>IF(L10&lt;3,3-L10,"No aplica")</f>
        <v>No aplica</v>
      </c>
    </row>
    <row r="11" spans="1:14">
      <c r="A11" s="14" t="s">
        <v>30</v>
      </c>
      <c r="B11" s="15"/>
      <c r="C11" s="14" t="s">
        <v>31</v>
      </c>
      <c r="D11" s="16"/>
      <c r="E11" s="1">
        <v>4.9000000000000004</v>
      </c>
      <c r="F11" s="1">
        <v>4</v>
      </c>
      <c r="G11" s="5">
        <f>AVERAGE(E11:F11)*0.5</f>
        <v>2.2250000000000001</v>
      </c>
      <c r="H11" s="1">
        <v>4.4000000000000004</v>
      </c>
      <c r="I11" s="6">
        <f>H11*0.5</f>
        <v>2.2000000000000002</v>
      </c>
      <c r="J11" s="6"/>
      <c r="K11" s="6">
        <f>(SUM(J11:J11)/5)*0.5</f>
        <v>0</v>
      </c>
      <c r="L11" s="6">
        <f>I11+G11</f>
        <v>4.4250000000000007</v>
      </c>
      <c r="M11" s="6">
        <f>INT(L11*10)/10+IF(MOD(L11*10,1)&gt;=0.5,0.1,0)</f>
        <v>4.4000000000000004</v>
      </c>
      <c r="N11" s="1" t="str">
        <f>IF(L11&lt;3,3-L11,"No aplica")</f>
        <v>No aplica</v>
      </c>
    </row>
    <row r="12" spans="1:14">
      <c r="A12" s="14" t="s">
        <v>32</v>
      </c>
      <c r="B12" s="15"/>
      <c r="C12" s="14" t="s">
        <v>33</v>
      </c>
      <c r="D12" s="16"/>
      <c r="E12" s="1">
        <v>5</v>
      </c>
      <c r="F12" s="1">
        <v>4.7</v>
      </c>
      <c r="G12" s="5">
        <f>AVERAGE(E12:F12)*0.5</f>
        <v>2.4249999999999998</v>
      </c>
      <c r="H12" s="1">
        <v>4.7</v>
      </c>
      <c r="I12" s="6">
        <f>H12*0.5</f>
        <v>2.35</v>
      </c>
      <c r="J12" s="6"/>
      <c r="K12" s="6">
        <f>(SUM(J12:J12)/5)*0.5</f>
        <v>0</v>
      </c>
      <c r="L12" s="6">
        <f>I12+G12</f>
        <v>4.7750000000000004</v>
      </c>
      <c r="M12" s="6">
        <f>INT(L12*10)/10+IF(MOD(L12*10,1)&gt;=0.5,0.1,0)</f>
        <v>4.8</v>
      </c>
      <c r="N12" s="1" t="str">
        <f>IF(L12&lt;3,3-L12,"No aplica")</f>
        <v>No aplica</v>
      </c>
    </row>
    <row r="13" spans="1:14">
      <c r="A13" s="14" t="s">
        <v>34</v>
      </c>
      <c r="B13" s="15"/>
      <c r="C13" s="14" t="s">
        <v>35</v>
      </c>
      <c r="D13" s="16"/>
      <c r="E13" s="1">
        <v>4.5</v>
      </c>
      <c r="F13" s="1">
        <v>5</v>
      </c>
      <c r="G13" s="5">
        <f>AVERAGE(E13:F13)*0.5</f>
        <v>2.375</v>
      </c>
      <c r="H13" s="1">
        <v>3.7</v>
      </c>
      <c r="I13" s="6">
        <f>H13*0.5</f>
        <v>1.85</v>
      </c>
      <c r="J13" s="6"/>
      <c r="K13" s="6">
        <f>(SUM(J13:J13)/5)*0.5</f>
        <v>0</v>
      </c>
      <c r="L13" s="6">
        <f>I13+G13</f>
        <v>4.2249999999999996</v>
      </c>
      <c r="M13" s="6">
        <f>INT(L13*10)/10+IF(MOD(L13*10,1)&gt;=0.5,0.1,0)</f>
        <v>4.2</v>
      </c>
      <c r="N13" s="1" t="str">
        <f>IF(L13&lt;3,3-L13,"No aplica")</f>
        <v>No aplica</v>
      </c>
    </row>
    <row r="14" spans="1:14">
      <c r="A14" s="14" t="s">
        <v>36</v>
      </c>
      <c r="B14" s="15"/>
      <c r="C14" s="14" t="s">
        <v>37</v>
      </c>
      <c r="D14" s="16"/>
      <c r="E14" s="1">
        <v>5</v>
      </c>
      <c r="F14" s="1">
        <v>5</v>
      </c>
      <c r="G14" s="5">
        <f>AVERAGE(E14:F14)*0.5</f>
        <v>2.5</v>
      </c>
      <c r="H14" s="1">
        <v>4</v>
      </c>
      <c r="I14" s="6">
        <f>H14*0.5</f>
        <v>2</v>
      </c>
      <c r="J14" s="6"/>
      <c r="K14" s="6">
        <f>(SUM(J14:J14)/5)*0.5</f>
        <v>0</v>
      </c>
      <c r="L14" s="6">
        <f>I14+G14</f>
        <v>4.5</v>
      </c>
      <c r="M14" s="6">
        <f>INT(L14*10)/10+IF(MOD(L14*10,1)&gt;=0.5,0.1,0)</f>
        <v>4.5</v>
      </c>
      <c r="N14" s="1" t="str">
        <f>IF(L14&lt;3,3-L14,"No aplica")</f>
        <v>No aplica</v>
      </c>
    </row>
    <row r="15" spans="1:14">
      <c r="A15" s="14" t="s">
        <v>38</v>
      </c>
      <c r="B15" s="15"/>
      <c r="C15" s="14" t="s">
        <v>39</v>
      </c>
      <c r="D15" s="16"/>
      <c r="E15" s="1">
        <v>4.9000000000000004</v>
      </c>
      <c r="F15" s="1">
        <v>4.95</v>
      </c>
      <c r="G15" s="5">
        <f>AVERAGE(E15:F15)*0.5</f>
        <v>2.4625000000000004</v>
      </c>
      <c r="H15" s="1">
        <v>4.7</v>
      </c>
      <c r="I15" s="6">
        <f>H15*0.5</f>
        <v>2.35</v>
      </c>
      <c r="J15" s="6"/>
      <c r="K15" s="6">
        <f>(SUM(J15:J15)/5)*0.5</f>
        <v>0</v>
      </c>
      <c r="L15" s="6">
        <f>I15+G15</f>
        <v>4.8125</v>
      </c>
      <c r="M15" s="6">
        <f>INT(L15*10)/10+IF(MOD(L15*10,1)&gt;=0.5,0.1,0)</f>
        <v>4.8</v>
      </c>
      <c r="N15" s="1" t="str">
        <f>IF(L15&lt;3,3-L15,"No aplica")</f>
        <v>No aplica</v>
      </c>
    </row>
    <row r="16" spans="1:14">
      <c r="A16" s="14" t="s">
        <v>40</v>
      </c>
      <c r="B16" s="15"/>
      <c r="C16" s="14" t="s">
        <v>41</v>
      </c>
      <c r="D16" s="16"/>
      <c r="E16" s="1">
        <v>4.8</v>
      </c>
      <c r="F16" s="1">
        <v>5</v>
      </c>
      <c r="G16" s="5">
        <f>AVERAGE(E16:F16)*0.5</f>
        <v>2.4500000000000002</v>
      </c>
      <c r="H16" s="1">
        <v>3.7</v>
      </c>
      <c r="I16" s="6">
        <f>H16*0.5</f>
        <v>1.85</v>
      </c>
      <c r="J16" s="6"/>
      <c r="K16" s="6">
        <f>(SUM(J16:J16)/5)*0.5</f>
        <v>0</v>
      </c>
      <c r="L16" s="6">
        <f>I16+G16</f>
        <v>4.3000000000000007</v>
      </c>
      <c r="M16" s="6">
        <f>INT(L16*10)/10+IF(MOD(L16*10,1)&gt;=0.5,0.1,0)</f>
        <v>4.3</v>
      </c>
      <c r="N16" s="1" t="str">
        <f>IF(L16&lt;3,3-L16,"No aplica")</f>
        <v>No aplica</v>
      </c>
    </row>
    <row r="17" spans="1:14">
      <c r="A17" s="14" t="s">
        <v>42</v>
      </c>
      <c r="B17" s="15"/>
      <c r="C17" s="14" t="s">
        <v>43</v>
      </c>
      <c r="D17" s="16"/>
      <c r="E17" s="1">
        <v>4.4000000000000004</v>
      </c>
      <c r="F17" s="1">
        <v>4.8</v>
      </c>
      <c r="G17" s="5">
        <f>AVERAGE(E17:F17)*0.5</f>
        <v>2.2999999999999998</v>
      </c>
      <c r="H17" s="1">
        <v>3.7</v>
      </c>
      <c r="I17" s="6">
        <f>H17*0.5</f>
        <v>1.85</v>
      </c>
      <c r="J17" s="6"/>
      <c r="K17" s="6">
        <f>(SUM(J17:J17)/5)*0.5</f>
        <v>0</v>
      </c>
      <c r="L17" s="6">
        <f>I17+G17</f>
        <v>4.1500000000000004</v>
      </c>
      <c r="M17" s="6">
        <f>INT(L17*10)/10+IF(MOD(L17*10,1)&gt;=0.5,0.1,0)</f>
        <v>4.1999999999999993</v>
      </c>
      <c r="N17" s="1" t="str">
        <f>IF(L17&lt;3,3-L17,"No aplica")</f>
        <v>No aplica</v>
      </c>
    </row>
    <row r="18" spans="1:14">
      <c r="A18" s="14" t="s">
        <v>44</v>
      </c>
      <c r="B18" s="15"/>
      <c r="C18" s="14" t="s">
        <v>45</v>
      </c>
      <c r="D18" s="16"/>
      <c r="E18" s="1">
        <v>4.5999999999999996</v>
      </c>
      <c r="F18" s="1">
        <v>5</v>
      </c>
      <c r="G18" s="5">
        <f>AVERAGE(E18:F18)*0.5</f>
        <v>2.4</v>
      </c>
      <c r="H18" s="1">
        <v>4.4000000000000004</v>
      </c>
      <c r="I18" s="6">
        <f>H18*0.5</f>
        <v>2.2000000000000002</v>
      </c>
      <c r="J18" s="6"/>
      <c r="K18" s="6">
        <f>(SUM(J18:J18)/5)*0.5</f>
        <v>0</v>
      </c>
      <c r="L18" s="6">
        <f>I18+G18</f>
        <v>4.5999999999999996</v>
      </c>
      <c r="M18" s="6">
        <f>INT(L18*10)/10+IF(MOD(L18*10,1)&gt;=0.5,0.1,0)</f>
        <v>4.5999999999999996</v>
      </c>
      <c r="N18" s="1" t="str">
        <f>IF(L18&lt;3,3-L18,"No aplica")</f>
        <v>No aplica</v>
      </c>
    </row>
    <row r="19" spans="1:14">
      <c r="A19" s="14" t="s">
        <v>46</v>
      </c>
      <c r="B19" s="15"/>
      <c r="C19" s="14" t="s">
        <v>47</v>
      </c>
      <c r="D19" s="16"/>
      <c r="E19" s="1">
        <v>5</v>
      </c>
      <c r="F19" s="1">
        <v>4.7</v>
      </c>
      <c r="G19" s="5">
        <f>AVERAGE(E19:F19)*0.5</f>
        <v>2.4249999999999998</v>
      </c>
      <c r="H19" s="1">
        <v>4.7</v>
      </c>
      <c r="I19" s="6">
        <f>H19*0.5</f>
        <v>2.35</v>
      </c>
      <c r="J19" s="6"/>
      <c r="K19" s="6">
        <f>(SUM(J19:J19)/5)*0.5</f>
        <v>0</v>
      </c>
      <c r="L19" s="6">
        <f>I19+G19</f>
        <v>4.7750000000000004</v>
      </c>
      <c r="M19" s="6">
        <f>INT(L19*10)/10+IF(MOD(L19*10,1)&gt;=0.5,0.1,0)</f>
        <v>4.8</v>
      </c>
      <c r="N19" s="1" t="str">
        <f>IF(L19&lt;3,3-L19,"No aplica")</f>
        <v>No aplica</v>
      </c>
    </row>
    <row r="20" spans="1:14">
      <c r="A20" s="14" t="s">
        <v>48</v>
      </c>
      <c r="B20" s="15"/>
      <c r="C20" s="14" t="s">
        <v>49</v>
      </c>
      <c r="D20" s="16"/>
      <c r="E20" s="1">
        <v>4.8</v>
      </c>
      <c r="F20" s="1">
        <v>4.7</v>
      </c>
      <c r="G20" s="5">
        <f>AVERAGE(E20:F20)*0.5</f>
        <v>2.375</v>
      </c>
      <c r="H20" s="1">
        <v>4.4000000000000004</v>
      </c>
      <c r="I20" s="6">
        <f>H20*0.5</f>
        <v>2.2000000000000002</v>
      </c>
      <c r="J20" s="6"/>
      <c r="K20" s="6">
        <f>(SUM(J20:J20)/5)*0.5</f>
        <v>0</v>
      </c>
      <c r="L20" s="6">
        <f>I20+G20</f>
        <v>4.5750000000000002</v>
      </c>
      <c r="M20" s="6">
        <f>INT(L20*10)/10+IF(MOD(L20*10,1)&gt;=0.5,0.1,0)</f>
        <v>4.5999999999999996</v>
      </c>
      <c r="N20" s="1" t="str">
        <f>IF(L20&lt;3,3-L20,"No aplica")</f>
        <v>No aplica</v>
      </c>
    </row>
    <row r="21" spans="1:14">
      <c r="A21" s="14" t="s">
        <v>50</v>
      </c>
      <c r="B21" s="15"/>
      <c r="C21" s="14" t="s">
        <v>51</v>
      </c>
      <c r="D21" s="16"/>
      <c r="E21" s="1">
        <v>4.8</v>
      </c>
      <c r="F21" s="1">
        <v>5</v>
      </c>
      <c r="G21" s="5">
        <f>AVERAGE(E21:F21)*0.5</f>
        <v>2.4500000000000002</v>
      </c>
      <c r="H21" s="1">
        <v>4.3</v>
      </c>
      <c r="I21" s="6">
        <f>H21*0.5</f>
        <v>2.15</v>
      </c>
      <c r="J21" s="6"/>
      <c r="K21" s="6">
        <f>(SUM(J21:J21)/5)*0.5</f>
        <v>0</v>
      </c>
      <c r="L21" s="6">
        <f>I21+G21</f>
        <v>4.5999999999999996</v>
      </c>
      <c r="M21" s="6">
        <f>INT(L21*10)/10+IF(MOD(L21*10,1)&gt;=0.5,0.1,0)</f>
        <v>4.5999999999999996</v>
      </c>
      <c r="N21" s="1" t="str">
        <f>IF(L21&lt;3,3-L21,"No aplica")</f>
        <v>No aplica</v>
      </c>
    </row>
    <row r="22" spans="1:14">
      <c r="A22" s="14" t="s">
        <v>52</v>
      </c>
      <c r="B22" s="15"/>
      <c r="C22" s="14" t="s">
        <v>53</v>
      </c>
      <c r="D22" s="16"/>
      <c r="E22" s="1">
        <v>0</v>
      </c>
      <c r="F22" s="1">
        <v>0</v>
      </c>
      <c r="G22" s="5">
        <f>AVERAGE(E22:F22)*0.5</f>
        <v>0</v>
      </c>
      <c r="H22" s="1">
        <v>0</v>
      </c>
      <c r="I22" s="6">
        <f>H22*0.5</f>
        <v>0</v>
      </c>
      <c r="J22" s="6"/>
      <c r="K22" s="6">
        <f>(SUM(J22:J22)/5)*0.5</f>
        <v>0</v>
      </c>
      <c r="L22" s="6">
        <f>I22+G22</f>
        <v>0</v>
      </c>
      <c r="M22" s="6">
        <f>INT(L22*10)/10+IF(MOD(L22*10,1)&gt;=0.5,0.1,0)</f>
        <v>0</v>
      </c>
      <c r="N22" s="1">
        <f>IF(L22&lt;3,3-L22,"No aplica")</f>
        <v>3</v>
      </c>
    </row>
    <row r="23" spans="1:14">
      <c r="A23" s="14" t="s">
        <v>54</v>
      </c>
      <c r="B23" s="15"/>
      <c r="C23" s="14" t="s">
        <v>55</v>
      </c>
      <c r="D23" s="16"/>
      <c r="E23" s="1">
        <v>5</v>
      </c>
      <c r="F23" s="1">
        <v>4.9000000000000004</v>
      </c>
      <c r="G23" s="5">
        <f>AVERAGE(E23:F23)*0.5</f>
        <v>2.4750000000000001</v>
      </c>
      <c r="H23" s="1">
        <v>3</v>
      </c>
      <c r="I23" s="6">
        <f>H23*0.5</f>
        <v>1.5</v>
      </c>
      <c r="J23" s="6"/>
      <c r="K23" s="6">
        <f>(SUM(J23:J23)/5)*0.5</f>
        <v>0</v>
      </c>
      <c r="L23" s="6">
        <f>I23+G23</f>
        <v>3.9750000000000001</v>
      </c>
      <c r="M23" s="6">
        <f>INT(L23*10)/10+IF(MOD(L23*10,1)&gt;=0.5,0.1,0)</f>
        <v>4</v>
      </c>
      <c r="N23" s="1" t="str">
        <f>IF(L23&lt;3,3-L23,"No aplica")</f>
        <v>No aplica</v>
      </c>
    </row>
    <row r="24" spans="1:14">
      <c r="A24" s="14" t="s">
        <v>56</v>
      </c>
      <c r="B24" s="15"/>
      <c r="C24" s="14" t="s">
        <v>57</v>
      </c>
      <c r="D24" s="16"/>
      <c r="E24" s="1">
        <v>4.3</v>
      </c>
      <c r="F24" s="1">
        <v>4.9000000000000004</v>
      </c>
      <c r="G24" s="5">
        <f>AVERAGE(E24:F24)*0.5</f>
        <v>2.2999999999999998</v>
      </c>
      <c r="H24" s="1">
        <v>3.3</v>
      </c>
      <c r="I24" s="6">
        <f>H24*0.5</f>
        <v>1.65</v>
      </c>
      <c r="J24" s="6"/>
      <c r="K24" s="6">
        <f>(SUM(J24:J24)/5)*0.5</f>
        <v>0</v>
      </c>
      <c r="L24" s="6">
        <f>I24+G24</f>
        <v>3.9499999999999997</v>
      </c>
      <c r="M24" s="6">
        <f>INT(L24*10)/10+IF(MOD(L24*10,1)&gt;=0.5,0.1,0)</f>
        <v>4</v>
      </c>
      <c r="N24" s="1" t="str">
        <f>IF(L24&lt;3,3-L24,"No aplica")</f>
        <v>No aplica</v>
      </c>
    </row>
    <row r="25" spans="1:14">
      <c r="A25" s="14" t="s">
        <v>58</v>
      </c>
      <c r="B25" s="15"/>
      <c r="C25" s="14" t="s">
        <v>59</v>
      </c>
      <c r="D25" s="16"/>
      <c r="E25" s="1">
        <v>4.5</v>
      </c>
      <c r="F25" s="1">
        <v>5</v>
      </c>
      <c r="G25" s="5">
        <f>AVERAGE(E25:F25)*0.5</f>
        <v>2.375</v>
      </c>
      <c r="H25" s="1">
        <v>3.6</v>
      </c>
      <c r="I25" s="6">
        <f>H25*0.5</f>
        <v>1.8</v>
      </c>
      <c r="J25" s="6"/>
      <c r="K25" s="6">
        <f>(SUM(J25:J25)/5)*0.5</f>
        <v>0</v>
      </c>
      <c r="L25" s="6">
        <f>I25+G25</f>
        <v>4.1749999999999998</v>
      </c>
      <c r="M25" s="6">
        <f>INT(L25*10)/10+IF(MOD(L25*10,1)&gt;=0.5,0.1,0)</f>
        <v>4.1999999999999993</v>
      </c>
      <c r="N25" s="1" t="str">
        <f>IF(L25&lt;3,3-L25,"No aplica")</f>
        <v>No aplica</v>
      </c>
    </row>
    <row r="26" spans="1:14">
      <c r="A26" s="14" t="s">
        <v>60</v>
      </c>
      <c r="B26" s="15"/>
      <c r="C26" s="14" t="s">
        <v>61</v>
      </c>
      <c r="D26" s="1"/>
      <c r="E26" s="1">
        <v>4.8</v>
      </c>
      <c r="F26" s="1">
        <v>4.0999999999999996</v>
      </c>
      <c r="G26" s="5">
        <f>AVERAGE(E26:F26)*0.5</f>
        <v>2.2249999999999996</v>
      </c>
      <c r="H26" s="1">
        <v>4.4000000000000004</v>
      </c>
      <c r="I26" s="6">
        <f>H26*0.5</f>
        <v>2.2000000000000002</v>
      </c>
      <c r="J26" s="6"/>
      <c r="K26" s="6">
        <f>(SUM(J26:J26)/5)*0.5</f>
        <v>0</v>
      </c>
      <c r="L26" s="6">
        <f>I26+G26</f>
        <v>4.4249999999999998</v>
      </c>
      <c r="M26" s="6">
        <f>INT(L26*10)/10+IF(MOD(L26*10,1)&gt;=0.5,0.1,0)</f>
        <v>4.4000000000000004</v>
      </c>
      <c r="N26" s="1" t="str">
        <f>IF(L26&lt;3,3-L26,"No aplica")</f>
        <v>No aplica</v>
      </c>
    </row>
    <row r="27" spans="1:14">
      <c r="A27" s="14" t="s">
        <v>62</v>
      </c>
      <c r="B27" s="15"/>
      <c r="C27" s="14" t="s">
        <v>63</v>
      </c>
      <c r="D27" s="16"/>
      <c r="E27" s="1">
        <v>4.5</v>
      </c>
      <c r="F27" s="1">
        <v>4.7</v>
      </c>
      <c r="G27" s="5">
        <f>AVERAGE(E27:F27)*0.5</f>
        <v>2.2999999999999998</v>
      </c>
      <c r="H27" s="1">
        <v>3.7</v>
      </c>
      <c r="I27" s="6">
        <f>H27*0.5</f>
        <v>1.85</v>
      </c>
      <c r="J27" s="6"/>
      <c r="K27" s="6">
        <f>(SUM(J27:J27)/5)*0.5</f>
        <v>0</v>
      </c>
      <c r="L27" s="6">
        <f>I27+G27</f>
        <v>4.1500000000000004</v>
      </c>
      <c r="M27" s="6">
        <f>INT(L27*10)/10+IF(MOD(L27*10,1)&gt;=0.5,0.1,0)</f>
        <v>4.1999999999999993</v>
      </c>
      <c r="N27" s="1" t="str">
        <f>IF(L27&lt;3,3-L27,"No aplica")</f>
        <v>No aplica</v>
      </c>
    </row>
    <row r="28" spans="1:14">
      <c r="A28" s="14" t="s">
        <v>64</v>
      </c>
      <c r="B28" s="15"/>
      <c r="C28" s="14" t="s">
        <v>65</v>
      </c>
      <c r="D28" s="16"/>
      <c r="E28" s="1">
        <v>4.7</v>
      </c>
      <c r="F28" s="1">
        <v>5</v>
      </c>
      <c r="G28" s="5">
        <f>AVERAGE(E28:F28)*0.5</f>
        <v>2.4249999999999998</v>
      </c>
      <c r="H28" s="1">
        <v>3.3</v>
      </c>
      <c r="I28" s="6">
        <f>H28*0.5</f>
        <v>1.65</v>
      </c>
      <c r="J28" s="6"/>
      <c r="K28" s="6">
        <f>(SUM(J28:J28)/5)*0.5</f>
        <v>0</v>
      </c>
      <c r="L28" s="6">
        <f>I28+G28</f>
        <v>4.0749999999999993</v>
      </c>
      <c r="M28" s="6">
        <f>INT(L28*10)/10+IF(MOD(L28*10,1)&gt;=0.5,0.1,0)</f>
        <v>4.0999999999999996</v>
      </c>
      <c r="N28" s="1" t="str">
        <f>IF(L28&lt;3,3-L28,"No aplica")</f>
        <v>No aplica</v>
      </c>
    </row>
    <row r="29" spans="1:14">
      <c r="A29" s="14" t="s">
        <v>66</v>
      </c>
      <c r="B29" s="15"/>
      <c r="C29" s="14" t="s">
        <v>67</v>
      </c>
      <c r="D29" s="1"/>
      <c r="E29" s="1">
        <v>4.8</v>
      </c>
      <c r="F29" s="1">
        <v>5</v>
      </c>
      <c r="G29" s="5">
        <f>AVERAGE(E29:F29)*0.5</f>
        <v>2.4500000000000002</v>
      </c>
      <c r="H29" s="1">
        <v>3.7</v>
      </c>
      <c r="I29" s="6">
        <f>H29*0.5</f>
        <v>1.85</v>
      </c>
      <c r="J29" s="6"/>
      <c r="K29" s="6">
        <f>(SUM(J29:J29)/5)*0.5</f>
        <v>0</v>
      </c>
      <c r="L29" s="6">
        <f>I29+G29</f>
        <v>4.3000000000000007</v>
      </c>
      <c r="M29" s="6">
        <f>INT(L29*10)/10+IF(MOD(L29*10,1)&gt;=0.5,0.1,0)</f>
        <v>4.3</v>
      </c>
      <c r="N29" s="1" t="str">
        <f>IF(L29&lt;3,3-L29,"No aplica")</f>
        <v>No aplica</v>
      </c>
    </row>
    <row r="30" spans="1:14">
      <c r="A30" s="14" t="s">
        <v>68</v>
      </c>
      <c r="B30" s="15"/>
      <c r="C30" s="14" t="s">
        <v>69</v>
      </c>
      <c r="D30" s="16"/>
      <c r="E30" s="1">
        <v>4.8</v>
      </c>
      <c r="F30" s="1">
        <v>4.7</v>
      </c>
      <c r="G30" s="5">
        <f>AVERAGE(E30:F30)*0.5</f>
        <v>2.375</v>
      </c>
      <c r="H30" s="1">
        <v>3.8</v>
      </c>
      <c r="I30" s="6">
        <f>H30*0.5</f>
        <v>1.9</v>
      </c>
      <c r="J30" s="6"/>
      <c r="K30" s="6">
        <f>(SUM(J30:J30)/5)*0.5</f>
        <v>0</v>
      </c>
      <c r="L30" s="6">
        <f>I30+G30</f>
        <v>4.2750000000000004</v>
      </c>
      <c r="M30" s="6">
        <f>INT(L30*10)/10+IF(MOD(L30*10,1)&gt;=0.5,0.1,0)</f>
        <v>4.3</v>
      </c>
      <c r="N30" s="1" t="str">
        <f>IF(L30&lt;3,3-L30,"No aplica")</f>
        <v>No aplica</v>
      </c>
    </row>
    <row r="31" spans="1:14">
      <c r="A31" s="14" t="s">
        <v>70</v>
      </c>
      <c r="B31" s="15"/>
      <c r="C31" s="14" t="s">
        <v>71</v>
      </c>
      <c r="D31" s="16"/>
      <c r="E31" s="1">
        <v>4.8</v>
      </c>
      <c r="F31" s="1">
        <v>4.4000000000000004</v>
      </c>
      <c r="G31" s="5">
        <f>AVERAGE(E31:F31)*0.5</f>
        <v>2.2999999999999998</v>
      </c>
      <c r="H31" s="1">
        <v>3</v>
      </c>
      <c r="I31" s="6">
        <f>H31*0.5</f>
        <v>1.5</v>
      </c>
      <c r="J31" s="6"/>
      <c r="K31" s="6">
        <f>(SUM(J31:J31)/5)*0.5</f>
        <v>0</v>
      </c>
      <c r="L31" s="6">
        <f>I31+G31</f>
        <v>3.8</v>
      </c>
      <c r="M31" s="6">
        <f>INT(L31*10)/10+IF(MOD(L31*10,1)&gt;=0.5,0.1,0)</f>
        <v>3.8</v>
      </c>
      <c r="N31" s="1" t="str">
        <f>IF(L31&lt;3,3-L31,"No aplica")</f>
        <v>No aplica</v>
      </c>
    </row>
    <row r="32" spans="1:14">
      <c r="A32" s="14" t="s">
        <v>72</v>
      </c>
      <c r="B32" s="15"/>
      <c r="C32" s="14" t="s">
        <v>73</v>
      </c>
      <c r="D32" s="16"/>
      <c r="E32" s="1">
        <v>4.8</v>
      </c>
      <c r="F32" s="1">
        <v>5</v>
      </c>
      <c r="G32" s="5">
        <f>AVERAGE(E32:F32)*0.5</f>
        <v>2.4500000000000002</v>
      </c>
      <c r="H32" s="1">
        <v>1.5</v>
      </c>
      <c r="I32" s="6">
        <f>H32*0.5</f>
        <v>0.75</v>
      </c>
      <c r="J32" s="6"/>
      <c r="K32" s="6">
        <f>(SUM(J32:J32)/5)*0.5</f>
        <v>0</v>
      </c>
      <c r="L32" s="6">
        <f>I32+G32</f>
        <v>3.2</v>
      </c>
      <c r="M32" s="6">
        <f>INT(L32*10)/10+IF(MOD(L32*10,1)&gt;=0.5,0.1,0)</f>
        <v>3.2</v>
      </c>
      <c r="N32" s="1" t="str">
        <f>IF(L32&lt;3,3-L32,"No aplica")</f>
        <v>No aplica</v>
      </c>
    </row>
    <row r="33" spans="1:14">
      <c r="A33" s="35">
        <v>1011098258</v>
      </c>
      <c r="B33" s="35"/>
      <c r="C33" s="35" t="s">
        <v>74</v>
      </c>
      <c r="D33" s="36"/>
      <c r="E33" s="1">
        <v>4.4000000000000004</v>
      </c>
      <c r="F33" s="1">
        <v>4.8</v>
      </c>
      <c r="G33" s="5">
        <f>AVERAGE(E33:F33)*0.5</f>
        <v>2.2999999999999998</v>
      </c>
      <c r="H33" s="1">
        <v>3.3</v>
      </c>
      <c r="I33" s="6">
        <f>H33*0.5</f>
        <v>1.65</v>
      </c>
      <c r="J33" s="6"/>
      <c r="K33" s="6">
        <f>(SUM(J33:J33)/5)*0.5</f>
        <v>0</v>
      </c>
      <c r="L33" s="6">
        <f>I33+G33</f>
        <v>3.9499999999999997</v>
      </c>
      <c r="M33" s="6">
        <f>INT(L33*10)/10+IF(MOD(L33*10,1)&gt;=0.5,0.1,0)</f>
        <v>4</v>
      </c>
      <c r="N33" s="1" t="str">
        <f>IF(L33&lt;3,3-L33,"No aplica")</f>
        <v>No aplica</v>
      </c>
    </row>
    <row r="34" spans="1:14">
      <c r="A34" s="14" t="s">
        <v>75</v>
      </c>
      <c r="B34" s="15"/>
      <c r="C34" s="14" t="s">
        <v>76</v>
      </c>
      <c r="D34" s="16"/>
      <c r="E34" s="1">
        <v>5</v>
      </c>
      <c r="F34" s="1">
        <v>5</v>
      </c>
      <c r="G34" s="5">
        <f>AVERAGE(E34:F34)*0.5</f>
        <v>2.5</v>
      </c>
      <c r="H34" s="1">
        <v>4</v>
      </c>
      <c r="I34" s="6">
        <f>H34*0.5</f>
        <v>2</v>
      </c>
      <c r="J34" s="6"/>
      <c r="K34" s="6">
        <f>(SUM(J34:J34)/5)*0.5</f>
        <v>0</v>
      </c>
      <c r="L34" s="6">
        <f>I34+G34</f>
        <v>4.5</v>
      </c>
      <c r="M34" s="6">
        <f>INT(L34*10)/10+IF(MOD(L34*10,1)&gt;=0.5,0.1,0)</f>
        <v>4.5</v>
      </c>
      <c r="N34" s="1" t="str">
        <f>IF(L34&lt;3,3-L34,"No aplica")</f>
        <v>No aplica</v>
      </c>
    </row>
    <row r="35" spans="1:14">
      <c r="A35" s="14" t="s">
        <v>77</v>
      </c>
      <c r="B35" s="15"/>
      <c r="C35" s="14" t="s">
        <v>78</v>
      </c>
      <c r="D35" s="1"/>
      <c r="E35" s="1">
        <v>4.3</v>
      </c>
      <c r="F35" s="1">
        <v>4.7</v>
      </c>
      <c r="G35" s="5">
        <f>AVERAGE(E35:F35)*0.5</f>
        <v>2.25</v>
      </c>
      <c r="H35" s="1">
        <v>3.8</v>
      </c>
      <c r="I35" s="6">
        <f>H35*0.5</f>
        <v>1.9</v>
      </c>
      <c r="J35" s="6"/>
      <c r="K35" s="6">
        <f>(SUM(J35:J35)/5)*0.5</f>
        <v>0</v>
      </c>
      <c r="L35" s="6">
        <f>I35+G35</f>
        <v>4.1500000000000004</v>
      </c>
      <c r="M35" s="6">
        <f>INT(L35*10)/10+IF(MOD(L35*10,1)&gt;=0.5,0.1,0)</f>
        <v>4.1999999999999993</v>
      </c>
      <c r="N35" s="1" t="str">
        <f>IF(L35&lt;3,3-L35,"No aplica")</f>
        <v>No aplica</v>
      </c>
    </row>
    <row r="36" spans="1:14">
      <c r="A36" s="14" t="s">
        <v>79</v>
      </c>
      <c r="B36" s="15"/>
      <c r="C36" s="14" t="s">
        <v>80</v>
      </c>
      <c r="D36" s="16"/>
      <c r="E36" s="1">
        <v>4.7</v>
      </c>
      <c r="F36" s="1">
        <v>5</v>
      </c>
      <c r="G36" s="5">
        <f>AVERAGE(E36:F36)*0.5</f>
        <v>2.4249999999999998</v>
      </c>
      <c r="H36" s="1">
        <v>3.3</v>
      </c>
      <c r="I36" s="6">
        <f>H36*0.5</f>
        <v>1.65</v>
      </c>
      <c r="J36" s="6"/>
      <c r="K36" s="6">
        <f>(SUM(J36:J36)/5)*0.5</f>
        <v>0</v>
      </c>
      <c r="L36" s="6">
        <f>I36+G36</f>
        <v>4.0749999999999993</v>
      </c>
      <c r="M36" s="6">
        <f>INT(L36*10)/10+IF(MOD(L36*10,1)&gt;=0.5,0.1,0)</f>
        <v>4.0999999999999996</v>
      </c>
      <c r="N36" s="1" t="str">
        <f>IF(L36&lt;3,3-L36,"No aplica")</f>
        <v>No aplica</v>
      </c>
    </row>
    <row r="37" spans="1:14">
      <c r="A37" s="14" t="s">
        <v>81</v>
      </c>
      <c r="B37" s="15"/>
      <c r="C37" s="14" t="s">
        <v>82</v>
      </c>
      <c r="D37" s="16"/>
      <c r="E37" s="1">
        <v>4.9000000000000004</v>
      </c>
      <c r="F37" s="1">
        <v>4.95</v>
      </c>
      <c r="G37" s="5">
        <f>AVERAGE(E37:F37)*0.5</f>
        <v>2.4625000000000004</v>
      </c>
      <c r="H37" s="1">
        <v>4.7</v>
      </c>
      <c r="I37" s="6">
        <f>H37*0.5</f>
        <v>2.35</v>
      </c>
      <c r="J37" s="6"/>
      <c r="K37" s="6">
        <f>(SUM(J37:J37)/5)*0.5</f>
        <v>0</v>
      </c>
      <c r="L37" s="6">
        <f>I37+G37</f>
        <v>4.8125</v>
      </c>
      <c r="M37" s="6">
        <f>INT(L37*10)/10+IF(MOD(L37*10,1)&gt;=0.5,0.1,0)</f>
        <v>4.8</v>
      </c>
      <c r="N37" s="1" t="str">
        <f>IF(L37&lt;3,3-L37,"No aplica")</f>
        <v>No aplica</v>
      </c>
    </row>
    <row r="38" spans="1:14">
      <c r="A38" s="14" t="s">
        <v>83</v>
      </c>
      <c r="B38" s="15"/>
      <c r="C38" s="14" t="s">
        <v>84</v>
      </c>
      <c r="D38" s="1"/>
      <c r="E38" s="1">
        <v>5</v>
      </c>
      <c r="F38" s="1">
        <v>4.9000000000000004</v>
      </c>
      <c r="G38" s="5">
        <f>AVERAGE(E38:F38)*0.5</f>
        <v>2.4750000000000001</v>
      </c>
      <c r="H38" s="1">
        <v>3</v>
      </c>
      <c r="I38" s="6">
        <f>H38*0.5</f>
        <v>1.5</v>
      </c>
      <c r="J38" s="6"/>
      <c r="K38" s="6">
        <f>(SUM(J38:J38)/5)*0.5</f>
        <v>0</v>
      </c>
      <c r="L38" s="6">
        <f>I38+G38</f>
        <v>3.9750000000000001</v>
      </c>
      <c r="M38" s="6">
        <f>INT(L38*10)/10+IF(MOD(L38*10,1)&gt;=0.5,0.1,0)</f>
        <v>4</v>
      </c>
      <c r="N38" s="1" t="str">
        <f>IF(L38&lt;3,3-L38,"No aplica")</f>
        <v>No aplica</v>
      </c>
    </row>
    <row r="39" spans="1:14">
      <c r="A39" s="14" t="s">
        <v>85</v>
      </c>
      <c r="B39" s="15"/>
      <c r="C39" s="14" t="s">
        <v>86</v>
      </c>
      <c r="D39" s="16"/>
      <c r="E39" s="1">
        <v>4.9000000000000004</v>
      </c>
      <c r="F39" s="1">
        <v>4</v>
      </c>
      <c r="G39" s="5">
        <f>AVERAGE(E39:F39)*0.5</f>
        <v>2.2250000000000001</v>
      </c>
      <c r="H39" s="1">
        <v>4.4000000000000004</v>
      </c>
      <c r="I39" s="6">
        <f>H39*0.5</f>
        <v>2.2000000000000002</v>
      </c>
      <c r="J39" s="6"/>
      <c r="K39" s="6">
        <f>(SUM(J39:J39)/5)*0.5</f>
        <v>0</v>
      </c>
      <c r="L39" s="6">
        <f>I39+G39</f>
        <v>4.4250000000000007</v>
      </c>
      <c r="M39" s="6">
        <f>INT(L39*10)/10+IF(MOD(L39*10,1)&gt;=0.5,0.1,0)</f>
        <v>4.4000000000000004</v>
      </c>
      <c r="N39" s="1" t="str">
        <f>IF(L39&lt;3,3-L39,"No aplica")</f>
        <v>No aplica</v>
      </c>
    </row>
  </sheetData>
  <autoFilter ref="A7:N7" xr:uid="{7D7DDB1A-5DCA-445F-BD6F-4F0D7B3D8F35}">
    <filterColumn colId="0" showButton="0"/>
    <filterColumn colId="2" showButton="0"/>
    <sortState xmlns:xlrd2="http://schemas.microsoft.com/office/spreadsheetml/2017/richdata2" ref="A8:N39">
      <sortCondition ref="C7"/>
    </sortState>
  </autoFilter>
  <mergeCells count="14">
    <mergeCell ref="A39:B39"/>
    <mergeCell ref="C39:D39"/>
    <mergeCell ref="A1:B1"/>
    <mergeCell ref="C1:F1"/>
    <mergeCell ref="A2:B2"/>
    <mergeCell ref="C2:F2"/>
    <mergeCell ref="A3:B3"/>
    <mergeCell ref="C3:F3"/>
    <mergeCell ref="A4:B4"/>
    <mergeCell ref="C4:F4"/>
    <mergeCell ref="A6:D6"/>
    <mergeCell ref="E6:F6"/>
    <mergeCell ref="A7:B7"/>
    <mergeCell ref="C7:D7"/>
  </mergeCells>
  <conditionalFormatting sqref="E8:F39">
    <cfRule type="expression" dxfId="7" priority="11">
      <formula>E8&lt;3</formula>
    </cfRule>
  </conditionalFormatting>
  <conditionalFormatting sqref="E8:F39">
    <cfRule type="expression" dxfId="6" priority="2">
      <formula>E8&gt;=3</formula>
    </cfRule>
  </conditionalFormatting>
  <conditionalFormatting sqref="H8:H39">
    <cfRule type="expression" dxfId="5" priority="9">
      <formula>H8&gt;=3</formula>
    </cfRule>
    <cfRule type="expression" dxfId="4" priority="10">
      <formula>H8&lt;3</formula>
    </cfRule>
  </conditionalFormatting>
  <conditionalFormatting sqref="J8:J39">
    <cfRule type="cellIs" dxfId="3" priority="5" operator="greaterThan">
      <formula>0</formula>
    </cfRule>
    <cfRule type="containsBlanks" dxfId="2" priority="6">
      <formula>LEN(TRIM(J8))=0</formula>
    </cfRule>
  </conditionalFormatting>
  <conditionalFormatting sqref="L8:L39">
    <cfRule type="expression" dxfId="1" priority="7">
      <formula>L8&gt;=3</formula>
    </cfRule>
    <cfRule type="expression" dxfId="0" priority="8">
      <formula>L8&lt;3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Mauricio Valoyes Porras</cp:lastModifiedBy>
  <cp:revision/>
  <dcterms:created xsi:type="dcterms:W3CDTF">2025-06-18T04:01:52Z</dcterms:created>
  <dcterms:modified xsi:type="dcterms:W3CDTF">2026-09-05T03:44:11Z</dcterms:modified>
  <cp:category/>
  <cp:contentStatus/>
</cp:coreProperties>
</file>