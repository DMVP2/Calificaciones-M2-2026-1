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2218" documentId="13_ncr:1_{623D021F-1D2B-4193-BE32-C6604CE1B927}" xr6:coauthVersionLast="47" xr6:coauthVersionMax="47" xr10:uidLastSave="{451BABDC-C44E-4DBA-A908-3311BF32A23F}"/>
  <bookViews>
    <workbookView xWindow="-120" yWindow="-120" windowWidth="29040" windowHeight="15720" firstSheet="3" activeTab="3" xr2:uid="{00000000-000D-0000-FFFF-FFFF00000000}"/>
  </bookViews>
  <sheets>
    <sheet name="General" sheetId="1" r:id="rId1"/>
    <sheet name="Corte 1" sheetId="2" r:id="rId2"/>
    <sheet name="Corte 2" sheetId="3" r:id="rId3"/>
    <sheet name="Corte 3" sheetId="4" r:id="rId4"/>
  </sheets>
  <definedNames>
    <definedName name="_xlnm._FilterDatabase" localSheetId="0" hidden="1">General!$A$7:$W$7</definedName>
    <definedName name="_xlnm._FilterDatabase" localSheetId="1" hidden="1">'Corte 1'!$A$7:$O$7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4" l="1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8" i="4"/>
  <c r="O8" i="4" s="1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8" i="3"/>
  <c r="K9" i="3"/>
  <c r="K12" i="3"/>
  <c r="K13" i="3"/>
  <c r="K14" i="3"/>
  <c r="K17" i="3"/>
  <c r="K19" i="3"/>
  <c r="K20" i="3"/>
  <c r="K22" i="3"/>
  <c r="K23" i="3"/>
  <c r="K24" i="3"/>
  <c r="K25" i="3"/>
  <c r="K26" i="3"/>
  <c r="K27" i="3"/>
  <c r="K28" i="3"/>
  <c r="K29" i="3"/>
  <c r="K30" i="3"/>
  <c r="K32" i="3"/>
  <c r="K33" i="3"/>
  <c r="K36" i="3"/>
  <c r="K37" i="3"/>
  <c r="K38" i="3"/>
  <c r="K39" i="3"/>
  <c r="K40" i="3"/>
  <c r="K41" i="3"/>
  <c r="K42" i="3"/>
  <c r="K44" i="3"/>
  <c r="K45" i="3"/>
  <c r="K47" i="3"/>
  <c r="K48" i="3"/>
  <c r="K49" i="3"/>
  <c r="K50" i="3"/>
  <c r="K51" i="3"/>
  <c r="J9" i="3"/>
  <c r="J10" i="3"/>
  <c r="K10" i="3" s="1"/>
  <c r="J11" i="3"/>
  <c r="K11" i="3" s="1"/>
  <c r="J12" i="3"/>
  <c r="J13" i="3"/>
  <c r="J14" i="3"/>
  <c r="J15" i="3"/>
  <c r="K15" i="3" s="1"/>
  <c r="J16" i="3"/>
  <c r="K16" i="3" s="1"/>
  <c r="J17" i="3"/>
  <c r="J18" i="3"/>
  <c r="K18" i="3" s="1"/>
  <c r="J19" i="3"/>
  <c r="J20" i="3"/>
  <c r="J21" i="3"/>
  <c r="K21" i="3" s="1"/>
  <c r="J22" i="3"/>
  <c r="J23" i="3"/>
  <c r="J24" i="3"/>
  <c r="J25" i="3"/>
  <c r="J26" i="3"/>
  <c r="J27" i="3"/>
  <c r="J28" i="3"/>
  <c r="J29" i="3"/>
  <c r="J30" i="3"/>
  <c r="J31" i="3"/>
  <c r="K31" i="3" s="1"/>
  <c r="J32" i="3"/>
  <c r="J33" i="3"/>
  <c r="J34" i="3"/>
  <c r="K34" i="3" s="1"/>
  <c r="J35" i="3"/>
  <c r="K35" i="3" s="1"/>
  <c r="J36" i="3"/>
  <c r="J37" i="3"/>
  <c r="J38" i="3"/>
  <c r="J39" i="3"/>
  <c r="J40" i="3"/>
  <c r="J41" i="3"/>
  <c r="J42" i="3"/>
  <c r="J43" i="3"/>
  <c r="K43" i="3" s="1"/>
  <c r="J44" i="3"/>
  <c r="J45" i="3"/>
  <c r="J46" i="3"/>
  <c r="K46" i="3" s="1"/>
  <c r="J47" i="3"/>
  <c r="J48" i="3"/>
  <c r="J49" i="3"/>
  <c r="J50" i="3"/>
  <c r="J51" i="3"/>
  <c r="J52" i="3"/>
  <c r="K52" i="3" s="1"/>
  <c r="J8" i="3"/>
  <c r="K8" i="3" s="1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8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J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8" i="2"/>
  <c r="L52" i="2"/>
  <c r="F52" i="2"/>
  <c r="L51" i="2"/>
  <c r="F51" i="2"/>
  <c r="L50" i="2"/>
  <c r="F50" i="2"/>
  <c r="L49" i="2"/>
  <c r="F49" i="2"/>
  <c r="L48" i="2"/>
  <c r="F48" i="2"/>
  <c r="L47" i="2"/>
  <c r="F47" i="2"/>
  <c r="L46" i="2"/>
  <c r="F46" i="2"/>
  <c r="L45" i="2"/>
  <c r="F45" i="2"/>
  <c r="L44" i="2"/>
  <c r="F44" i="2"/>
  <c r="L43" i="2"/>
  <c r="F43" i="2"/>
  <c r="L42" i="2"/>
  <c r="F42" i="2"/>
  <c r="L41" i="2"/>
  <c r="F41" i="2"/>
  <c r="L40" i="2"/>
  <c r="F40" i="2"/>
  <c r="L39" i="2"/>
  <c r="F39" i="2"/>
  <c r="L38" i="2"/>
  <c r="F38" i="2"/>
  <c r="L37" i="2"/>
  <c r="F37" i="2"/>
  <c r="L36" i="2"/>
  <c r="F36" i="2"/>
  <c r="L35" i="2"/>
  <c r="F35" i="2"/>
  <c r="L34" i="2"/>
  <c r="F34" i="2"/>
  <c r="L33" i="2"/>
  <c r="F33" i="2"/>
  <c r="L32" i="2"/>
  <c r="F32" i="2"/>
  <c r="L31" i="2"/>
  <c r="F31" i="2"/>
  <c r="L30" i="2"/>
  <c r="F30" i="2"/>
  <c r="L29" i="2"/>
  <c r="F29" i="2"/>
  <c r="L28" i="2"/>
  <c r="F28" i="2"/>
  <c r="L27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L18" i="2"/>
  <c r="F18" i="2"/>
  <c r="L17" i="2"/>
  <c r="F17" i="2"/>
  <c r="L16" i="2"/>
  <c r="F16" i="2"/>
  <c r="L15" i="2"/>
  <c r="F15" i="2"/>
  <c r="L14" i="2"/>
  <c r="F14" i="2"/>
  <c r="L13" i="2"/>
  <c r="F13" i="2"/>
  <c r="L12" i="2"/>
  <c r="F12" i="2"/>
  <c r="L11" i="2"/>
  <c r="F11" i="2"/>
  <c r="L10" i="2"/>
  <c r="F10" i="2"/>
  <c r="L9" i="2"/>
  <c r="F9" i="2"/>
  <c r="L8" i="2"/>
  <c r="F8" i="2"/>
  <c r="T48" i="1"/>
  <c r="T50" i="1"/>
  <c r="T51" i="1"/>
  <c r="T52" i="1"/>
  <c r="T33" i="1"/>
  <c r="T49" i="1"/>
  <c r="T14" i="1"/>
  <c r="T15" i="1"/>
  <c r="T16" i="1"/>
  <c r="T41" i="1"/>
  <c r="N48" i="1"/>
  <c r="N50" i="1"/>
  <c r="N51" i="1"/>
  <c r="N52" i="1"/>
  <c r="N33" i="1"/>
  <c r="N49" i="1"/>
  <c r="N14" i="1"/>
  <c r="N15" i="1"/>
  <c r="N16" i="1"/>
  <c r="N41" i="1"/>
  <c r="L48" i="1"/>
  <c r="L50" i="1"/>
  <c r="L51" i="1"/>
  <c r="L52" i="1"/>
  <c r="L33" i="1"/>
  <c r="L49" i="1"/>
  <c r="L14" i="1"/>
  <c r="L15" i="1"/>
  <c r="L16" i="1"/>
  <c r="L41" i="1"/>
  <c r="F48" i="1"/>
  <c r="F50" i="1"/>
  <c r="F51" i="1"/>
  <c r="F52" i="1"/>
  <c r="F33" i="1"/>
  <c r="F49" i="1"/>
  <c r="F14" i="1"/>
  <c r="F15" i="1"/>
  <c r="F16" i="1"/>
  <c r="F41" i="1"/>
  <c r="F9" i="1"/>
  <c r="F10" i="1"/>
  <c r="F11" i="1"/>
  <c r="F12" i="1"/>
  <c r="F13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2" i="1"/>
  <c r="F43" i="1"/>
  <c r="F44" i="1"/>
  <c r="F45" i="1"/>
  <c r="F46" i="1"/>
  <c r="F47" i="1"/>
  <c r="F8" i="1"/>
  <c r="T47" i="1"/>
  <c r="L47" i="1"/>
  <c r="N47" i="1"/>
  <c r="T46" i="1"/>
  <c r="L46" i="1"/>
  <c r="N46" i="1"/>
  <c r="T45" i="1"/>
  <c r="L45" i="1"/>
  <c r="N45" i="1"/>
  <c r="T44" i="1"/>
  <c r="L44" i="1"/>
  <c r="N44" i="1"/>
  <c r="T43" i="1"/>
  <c r="L43" i="1"/>
  <c r="N43" i="1"/>
  <c r="T42" i="1"/>
  <c r="L42" i="1"/>
  <c r="N42" i="1"/>
  <c r="T40" i="1"/>
  <c r="L40" i="1"/>
  <c r="N40" i="1"/>
  <c r="T39" i="1"/>
  <c r="L39" i="1"/>
  <c r="N39" i="1"/>
  <c r="T38" i="1"/>
  <c r="L38" i="1"/>
  <c r="N38" i="1"/>
  <c r="T37" i="1"/>
  <c r="L37" i="1"/>
  <c r="N37" i="1"/>
  <c r="T36" i="1"/>
  <c r="L36" i="1"/>
  <c r="N36" i="1"/>
  <c r="T35" i="1"/>
  <c r="L35" i="1"/>
  <c r="N35" i="1"/>
  <c r="T34" i="1"/>
  <c r="L34" i="1"/>
  <c r="N34" i="1"/>
  <c r="T32" i="1"/>
  <c r="L32" i="1"/>
  <c r="N32" i="1"/>
  <c r="T31" i="1"/>
  <c r="L31" i="1"/>
  <c r="N31" i="1"/>
  <c r="T30" i="1"/>
  <c r="L30" i="1"/>
  <c r="N30" i="1"/>
  <c r="T29" i="1"/>
  <c r="L29" i="1"/>
  <c r="N29" i="1"/>
  <c r="T28" i="1"/>
  <c r="L28" i="1"/>
  <c r="N28" i="1"/>
  <c r="T27" i="1"/>
  <c r="L27" i="1"/>
  <c r="N27" i="1"/>
  <c r="T26" i="1"/>
  <c r="L26" i="1"/>
  <c r="N26" i="1"/>
  <c r="T25" i="1"/>
  <c r="L25" i="1"/>
  <c r="N25" i="1"/>
  <c r="T24" i="1"/>
  <c r="L24" i="1"/>
  <c r="N24" i="1"/>
  <c r="T23" i="1"/>
  <c r="L23" i="1"/>
  <c r="N23" i="1"/>
  <c r="T22" i="1"/>
  <c r="L22" i="1"/>
  <c r="N22" i="1"/>
  <c r="T21" i="1"/>
  <c r="L21" i="1"/>
  <c r="N21" i="1"/>
  <c r="T20" i="1"/>
  <c r="L20" i="1"/>
  <c r="N20" i="1"/>
  <c r="T19" i="1"/>
  <c r="L19" i="1"/>
  <c r="N19" i="1"/>
  <c r="T18" i="1"/>
  <c r="L18" i="1"/>
  <c r="N18" i="1"/>
  <c r="T17" i="1"/>
  <c r="L17" i="1"/>
  <c r="N17" i="1"/>
  <c r="T13" i="1"/>
  <c r="L13" i="1"/>
  <c r="N13" i="1"/>
  <c r="T12" i="1"/>
  <c r="L12" i="1"/>
  <c r="N12" i="1"/>
  <c r="T11" i="1"/>
  <c r="L11" i="1"/>
  <c r="N11" i="1"/>
  <c r="T10" i="1"/>
  <c r="L10" i="1"/>
  <c r="N10" i="1"/>
  <c r="T9" i="1"/>
  <c r="L9" i="1"/>
  <c r="N9" i="1"/>
  <c r="T8" i="1"/>
  <c r="L8" i="1"/>
  <c r="N8" i="1"/>
  <c r="U8" i="1"/>
  <c r="U9" i="1"/>
  <c r="U10" i="1"/>
  <c r="U11" i="1"/>
  <c r="U12" i="1"/>
  <c r="U13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4" i="1"/>
  <c r="U35" i="1"/>
  <c r="U36" i="1"/>
  <c r="U37" i="1"/>
  <c r="U38" i="1"/>
  <c r="U39" i="1"/>
  <c r="U40" i="1"/>
  <c r="U42" i="1"/>
  <c r="U43" i="1"/>
  <c r="U44" i="1"/>
  <c r="U45" i="1"/>
  <c r="U46" i="1"/>
  <c r="U47" i="1"/>
  <c r="W47" i="1"/>
  <c r="V47" i="1"/>
  <c r="W46" i="1"/>
  <c r="V46" i="1"/>
  <c r="W45" i="1"/>
  <c r="V45" i="1"/>
  <c r="W44" i="1"/>
  <c r="V44" i="1"/>
  <c r="W43" i="1"/>
  <c r="V43" i="1"/>
  <c r="W42" i="1"/>
  <c r="V42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3" i="1"/>
  <c r="V13" i="1"/>
  <c r="W12" i="1"/>
  <c r="V12" i="1"/>
  <c r="W11" i="1"/>
  <c r="V11" i="1"/>
  <c r="W10" i="1"/>
  <c r="V10" i="1"/>
  <c r="W9" i="1"/>
  <c r="V9" i="1"/>
  <c r="W8" i="1"/>
  <c r="V8" i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U41" i="1"/>
  <c r="U16" i="1"/>
  <c r="U15" i="1"/>
  <c r="U14" i="1"/>
  <c r="U49" i="1"/>
  <c r="U33" i="1"/>
  <c r="U52" i="1"/>
  <c r="U51" i="1"/>
  <c r="U50" i="1"/>
  <c r="U48" i="1"/>
  <c r="V41" i="1"/>
  <c r="W41" i="1"/>
  <c r="V16" i="1"/>
  <c r="W16" i="1"/>
  <c r="V15" i="1"/>
  <c r="W15" i="1"/>
  <c r="V14" i="1"/>
  <c r="W14" i="1"/>
  <c r="V49" i="1"/>
  <c r="W49" i="1"/>
  <c r="V33" i="1"/>
  <c r="W33" i="1"/>
  <c r="V52" i="1"/>
  <c r="W52" i="1"/>
  <c r="V51" i="1"/>
  <c r="W51" i="1"/>
  <c r="V50" i="1"/>
  <c r="W50" i="1"/>
  <c r="V48" i="1"/>
  <c r="W48" i="1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9" i="4" l="1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Q52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4" l="1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S52" i="3"/>
  <c r="R52" i="3"/>
  <c r="T52" i="3" s="1"/>
  <c r="S51" i="3"/>
  <c r="R51" i="3"/>
  <c r="T51" i="3" s="1"/>
  <c r="S50" i="3"/>
  <c r="R50" i="3"/>
  <c r="T50" i="3" s="1"/>
  <c r="S49" i="3"/>
  <c r="R49" i="3"/>
  <c r="T49" i="3" s="1"/>
  <c r="S48" i="3"/>
  <c r="R48" i="3"/>
  <c r="T48" i="3" s="1"/>
  <c r="S47" i="3"/>
  <c r="R47" i="3"/>
  <c r="T47" i="3" s="1"/>
  <c r="S46" i="3"/>
  <c r="R46" i="3"/>
  <c r="T46" i="3" s="1"/>
  <c r="S45" i="3"/>
  <c r="R45" i="3"/>
  <c r="T45" i="3" s="1"/>
  <c r="S44" i="3"/>
  <c r="R44" i="3"/>
  <c r="T44" i="3" s="1"/>
  <c r="S43" i="3"/>
  <c r="R43" i="3"/>
  <c r="T43" i="3" s="1"/>
  <c r="S42" i="3"/>
  <c r="R42" i="3"/>
  <c r="T42" i="3" s="1"/>
  <c r="S41" i="3"/>
  <c r="R41" i="3"/>
  <c r="T41" i="3" s="1"/>
  <c r="S40" i="3"/>
  <c r="R40" i="3"/>
  <c r="T40" i="3" s="1"/>
  <c r="S39" i="3"/>
  <c r="R39" i="3"/>
  <c r="T39" i="3" s="1"/>
  <c r="S38" i="3"/>
  <c r="R38" i="3"/>
  <c r="T38" i="3" s="1"/>
  <c r="S37" i="3"/>
  <c r="R37" i="3"/>
  <c r="T37" i="3" s="1"/>
  <c r="S36" i="3"/>
  <c r="R36" i="3"/>
  <c r="T36" i="3" s="1"/>
  <c r="S35" i="3"/>
  <c r="R35" i="3"/>
  <c r="T35" i="3" s="1"/>
  <c r="S34" i="3"/>
  <c r="R34" i="3"/>
  <c r="T34" i="3" s="1"/>
  <c r="S33" i="3"/>
  <c r="R33" i="3"/>
  <c r="T33" i="3" s="1"/>
  <c r="S32" i="3"/>
  <c r="R32" i="3"/>
  <c r="T32" i="3" s="1"/>
  <c r="S31" i="3"/>
  <c r="R31" i="3"/>
  <c r="T31" i="3" s="1"/>
  <c r="S30" i="3"/>
  <c r="R30" i="3"/>
  <c r="T30" i="3" s="1"/>
  <c r="S29" i="3"/>
  <c r="R29" i="3"/>
  <c r="T29" i="3" s="1"/>
  <c r="S28" i="3"/>
  <c r="R28" i="3"/>
  <c r="T28" i="3" s="1"/>
  <c r="S27" i="3"/>
  <c r="R27" i="3"/>
  <c r="T27" i="3" s="1"/>
  <c r="S26" i="3"/>
  <c r="R26" i="3"/>
  <c r="T26" i="3" s="1"/>
  <c r="S25" i="3"/>
  <c r="R25" i="3"/>
  <c r="T25" i="3" s="1"/>
  <c r="S24" i="3"/>
  <c r="R24" i="3"/>
  <c r="T24" i="3" s="1"/>
  <c r="S23" i="3"/>
  <c r="R23" i="3"/>
  <c r="T23" i="3" s="1"/>
  <c r="S22" i="3"/>
  <c r="R22" i="3"/>
  <c r="T22" i="3" s="1"/>
  <c r="S21" i="3"/>
  <c r="R21" i="3"/>
  <c r="T21" i="3" s="1"/>
  <c r="S20" i="3"/>
  <c r="R20" i="3"/>
  <c r="T20" i="3" s="1"/>
  <c r="S19" i="3"/>
  <c r="R19" i="3"/>
  <c r="T19" i="3" s="1"/>
  <c r="S18" i="3"/>
  <c r="R18" i="3"/>
  <c r="T18" i="3" s="1"/>
  <c r="S17" i="3"/>
  <c r="R17" i="3"/>
  <c r="T17" i="3" s="1"/>
  <c r="S16" i="3"/>
  <c r="R16" i="3"/>
  <c r="T16" i="3" s="1"/>
  <c r="S15" i="3"/>
  <c r="R15" i="3"/>
  <c r="T15" i="3" s="1"/>
  <c r="S14" i="3"/>
  <c r="R14" i="3"/>
  <c r="T14" i="3" s="1"/>
  <c r="S13" i="3"/>
  <c r="R13" i="3"/>
  <c r="T13" i="3" s="1"/>
  <c r="S12" i="3"/>
  <c r="R12" i="3"/>
  <c r="T12" i="3" s="1"/>
  <c r="S11" i="3"/>
  <c r="R11" i="3"/>
  <c r="T11" i="3" s="1"/>
  <c r="S10" i="3"/>
  <c r="R10" i="3"/>
  <c r="T10" i="3" s="1"/>
  <c r="S9" i="3"/>
  <c r="R9" i="3"/>
  <c r="T9" i="3" s="1"/>
  <c r="S8" i="3"/>
  <c r="R8" i="3"/>
  <c r="T8" i="3" s="1"/>
</calcChain>
</file>

<file path=xl/sharedStrings.xml><?xml version="1.0" encoding="utf-8"?>
<sst xmlns="http://schemas.openxmlformats.org/spreadsheetml/2006/main" count="463" uniqueCount="129">
  <si>
    <t>Asignatura</t>
  </si>
  <si>
    <t>Matemáticas 2 (Cálculo Integral + Ecuaciones Diferenciales)</t>
  </si>
  <si>
    <t>Semestre</t>
  </si>
  <si>
    <t>2026 - 1</t>
  </si>
  <si>
    <t>Grupo</t>
  </si>
  <si>
    <t>G2</t>
  </si>
  <si>
    <t>Docente</t>
  </si>
  <si>
    <t>David Mauricio Valoyes Porras</t>
  </si>
  <si>
    <t>Datos estudiante</t>
  </si>
  <si>
    <t>Quices</t>
  </si>
  <si>
    <t>Trabajos en clase, talleres y exposiciones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</si>
  <si>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</si>
  <si>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</si>
  <si>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</si>
  <si>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</si>
  <si>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</si>
  <si>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</si>
  <si>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</si>
  <si>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</si>
  <si>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Quiz</t>
  </si>
  <si>
    <t>Taller</t>
  </si>
  <si>
    <t>Clase</t>
  </si>
  <si>
    <t>Exposición</t>
  </si>
  <si>
    <t>Actividad o razón</t>
  </si>
  <si>
    <t>1116544723 </t>
  </si>
  <si>
    <t>AGUIRRE CHACON SARA CAMILA </t>
  </si>
  <si>
    <t>1106633835 </t>
  </si>
  <si>
    <t>ALMANZA ROCHA JUAN ESTEBAN </t>
  </si>
  <si>
    <t>1014663249 </t>
  </si>
  <si>
    <t>ARANGUREN CAÑON SAMUEL DAVID </t>
  </si>
  <si>
    <t>1057979103 </t>
  </si>
  <si>
    <t>BARRERA PORRAS MARIA JOSE </t>
  </si>
  <si>
    <t>1025063084 </t>
  </si>
  <si>
    <t>BRUN PIRAQUIVE PAULA ANDREA </t>
  </si>
  <si>
    <t>1001346214 </t>
  </si>
  <si>
    <t>CASTAÑEDA TORRES ANDRÉS </t>
  </si>
  <si>
    <t>1031809247 </t>
  </si>
  <si>
    <t>CASTIBLANCO PINTO CAROL NATALIA </t>
  </si>
  <si>
    <t>1021394693 </t>
  </si>
  <si>
    <t>CASTRO ACEVEDO JUAN ESTEBAN </t>
  </si>
  <si>
    <t>1145925111 </t>
  </si>
  <si>
    <t>CASTRO TINOCO SILVANA </t>
  </si>
  <si>
    <t>1076505458 </t>
  </si>
  <si>
    <t>CELIS LOPEZ ANA KARINA </t>
  </si>
  <si>
    <t>1002726750 </t>
  </si>
  <si>
    <t>COBOS BARRERA KAREN MARIANA </t>
  </si>
  <si>
    <t>1014990559 </t>
  </si>
  <si>
    <t>DUARTE SANCHEZ LAURA SOFIA </t>
  </si>
  <si>
    <t>1072653144 </t>
  </si>
  <si>
    <t>FAJARDO REYES MARIA ALEJANDRA </t>
  </si>
  <si>
    <t>1031813881 </t>
  </si>
  <si>
    <t>FRANCO MORENO JUAN SEBASTIAN </t>
  </si>
  <si>
    <t>1019605656 </t>
  </si>
  <si>
    <t>GALVIS MURCIA YULY SOFIA </t>
  </si>
  <si>
    <t>1140916725 </t>
  </si>
  <si>
    <t>GARIBELLO MORENO LINA SOFIA </t>
  </si>
  <si>
    <t>1011099076 </t>
  </si>
  <si>
    <t>GARRIDO CORTES SARA SOFIA </t>
  </si>
  <si>
    <t>1031422779 </t>
  </si>
  <si>
    <t>HERNANDEZ QUINTERO ANGEL DAVID </t>
  </si>
  <si>
    <t>1146684184 </t>
  </si>
  <si>
    <t>HERNANDEZ RAMÍREZ LUNA JULIANA </t>
  </si>
  <si>
    <t>1025322406 </t>
  </si>
  <si>
    <t>IBARRA SOTO SOFIA ALEJANDRA </t>
  </si>
  <si>
    <t>1032679259 </t>
  </si>
  <si>
    <t>LEON PINILLA DANNA SOFIA </t>
  </si>
  <si>
    <t>1014667951 </t>
  </si>
  <si>
    <t>LOAIZA ORTIZ ALISSON GISEL </t>
  </si>
  <si>
    <t>1013119899 </t>
  </si>
  <si>
    <t>MARTIN MEDINA LINA MARIA </t>
  </si>
  <si>
    <t>1027152053 </t>
  </si>
  <si>
    <t>MARTINEZ DURAN DIANA GABRIELA </t>
  </si>
  <si>
    <t>1012342965 </t>
  </si>
  <si>
    <t>MERCHAN RESTREPO EMMANUEL DAVID </t>
  </si>
  <si>
    <t>1000273531 </t>
  </si>
  <si>
    <t>MONROY SANCHEZ NICOLAS </t>
  </si>
  <si>
    <t>1016952039 </t>
  </si>
  <si>
    <t>OJEDA ANDRADE LAURA DANIELA </t>
  </si>
  <si>
    <t>1032939528 </t>
  </si>
  <si>
    <t>ORTIZ MATEUS NEIDY YULIETH </t>
  </si>
  <si>
    <t>1021393786 </t>
  </si>
  <si>
    <t>OVIEDO VALDERRAMA SARA SOFIA </t>
  </si>
  <si>
    <t>1032799176 </t>
  </si>
  <si>
    <t>PARRA RODRIGUEZ LINA MARIA </t>
  </si>
  <si>
    <t>1028864316 </t>
  </si>
  <si>
    <t>PEREZ LOPEZ JHOSWAL ALEXIS </t>
  </si>
  <si>
    <t>1023378241 </t>
  </si>
  <si>
    <t>QUITIAN VARON NICOL ALEXANDRA </t>
  </si>
  <si>
    <t>1032798802 </t>
  </si>
  <si>
    <t>RAMOS DUQUE JUAN CAMILO </t>
  </si>
  <si>
    <t>1016951946 </t>
  </si>
  <si>
    <t>RIVERA BOLAÑO PAULA VALENTINA </t>
  </si>
  <si>
    <t>1016596378 </t>
  </si>
  <si>
    <t>RODRIGUEZ FORERO VALERIE EILEEN </t>
  </si>
  <si>
    <t>1018412823 </t>
  </si>
  <si>
    <t>RODRIGUEZ SAMPEDRO PAULA JULIANA </t>
  </si>
  <si>
    <t>1010761513 </t>
  </si>
  <si>
    <t>RODRIGUEZ TORRES JULIANA ROCIO </t>
  </si>
  <si>
    <t>1014476307 </t>
  </si>
  <si>
    <t>ROSERO CASTILLO ANDRES FELIPE </t>
  </si>
  <si>
    <t>1013110117 </t>
  </si>
  <si>
    <t>SAENZ FLORES KEVIN ANTONIO </t>
  </si>
  <si>
    <t>1078396125 </t>
  </si>
  <si>
    <t>SALAZAR LEÓN JUAN PABLO </t>
  </si>
  <si>
    <t>1150185018 </t>
  </si>
  <si>
    <t>SANCHEZ NOVA ISABELLA </t>
  </si>
  <si>
    <t>1012324810 </t>
  </si>
  <si>
    <t>SEDANO RINCON CATALINA </t>
  </si>
  <si>
    <t>1031649727 </t>
  </si>
  <si>
    <t>UMBARILA MIRANDA ISABELLA </t>
  </si>
  <si>
    <t>1011088440 </t>
  </si>
  <si>
    <t>VALDERRAMA SAMUDIO STEVEN </t>
  </si>
  <si>
    <t>1013037047 </t>
  </si>
  <si>
    <t>ZAPATA LOPEZ PAULA ANDREA </t>
  </si>
  <si>
    <t>Taller 1</t>
  </si>
  <si>
    <t>Taller 2</t>
  </si>
  <si>
    <t>Taller 3</t>
  </si>
  <si>
    <t>Nota a sala con bono</t>
  </si>
  <si>
    <t>Plataforma</t>
  </si>
  <si>
    <t>Procedimiento</t>
  </si>
  <si>
    <t>Taller 4</t>
  </si>
  <si>
    <t>Taller 5</t>
  </si>
  <si>
    <t>Nota Taller 5</t>
  </si>
  <si>
    <t>Firmas</t>
  </si>
  <si>
    <t>Kahoots</t>
  </si>
  <si>
    <t>Juliana y Lina</t>
  </si>
  <si>
    <t>Anteproyecto</t>
  </si>
  <si>
    <t>Proyecto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</si>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</sst>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opLeftCell="O40" workbookViewId="0">
      <selection sqref="A1:W52"/>
    </sheetView>
  </sheetViews>
  <sheetFormatPr defaultColWidth="9.140625" defaultRowHeight="15"/>
  <cols>
    <col min="4" max="4" width="29.140625" customWidth="1"/>
    <col min="8" max="8" width="9.42578125" customWidth="1"/>
    <col min="9" max="9" width="11" customWidth="1"/>
    <col min="14" max="18" width="16.28515625" bestFit="1" customWidth="1"/>
    <col min="19" max="19" width="16.28515625" customWidth="1"/>
    <col min="21" max="22" width="11" bestFit="1" customWidth="1"/>
    <col min="23" max="23" width="20.5703125" bestFit="1" customWidth="1"/>
  </cols>
  <sheetData>
    <row r="1" spans="1:23">
      <c r="A1" s="20" t="s">
        <v>0</v>
      </c>
      <c r="B1" s="20"/>
      <c r="C1" s="21" t="s">
        <v>1</v>
      </c>
      <c r="D1" s="21"/>
      <c r="E1" s="21"/>
      <c r="F1" s="21"/>
      <c r="G1" s="21"/>
      <c r="H1" s="21"/>
      <c r="I1" s="21"/>
    </row>
    <row r="2" spans="1:23">
      <c r="A2" s="20" t="s">
        <v>2</v>
      </c>
      <c r="B2" s="20"/>
      <c r="C2" s="21" t="s">
        <v>3</v>
      </c>
      <c r="D2" s="21"/>
      <c r="E2" s="21"/>
      <c r="F2" s="21"/>
      <c r="G2" s="21"/>
      <c r="H2" s="21"/>
      <c r="I2" s="21"/>
    </row>
    <row r="3" spans="1:23">
      <c r="A3" s="22" t="s">
        <v>4</v>
      </c>
      <c r="B3" s="23"/>
      <c r="C3" s="24" t="s">
        <v>5</v>
      </c>
      <c r="D3" s="25"/>
      <c r="E3" s="25"/>
      <c r="F3" s="25"/>
      <c r="G3" s="25"/>
      <c r="H3" s="25"/>
      <c r="I3" s="26"/>
      <c r="N3" s="12"/>
      <c r="O3" s="12"/>
      <c r="P3" s="12"/>
      <c r="Q3" s="12"/>
      <c r="R3" s="12"/>
      <c r="S3" s="12"/>
    </row>
    <row r="4" spans="1:23">
      <c r="A4" s="20" t="s">
        <v>6</v>
      </c>
      <c r="B4" s="20"/>
      <c r="C4" s="21" t="s">
        <v>7</v>
      </c>
      <c r="D4" s="21"/>
      <c r="E4" s="21"/>
      <c r="F4" s="21"/>
      <c r="G4" s="21"/>
      <c r="H4" s="21"/>
      <c r="I4" s="21"/>
    </row>
    <row r="6" spans="1:23">
      <c r="A6" s="29" t="s">
        <v>8</v>
      </c>
      <c r="B6" s="29"/>
      <c r="C6" s="29"/>
      <c r="D6" s="29"/>
      <c r="E6" s="2" t="s">
        <v>9</v>
      </c>
      <c r="F6" s="4">
        <v>0.1</v>
      </c>
      <c r="G6" s="34" t="s">
        <v>10</v>
      </c>
      <c r="H6" s="35"/>
      <c r="I6" s="35"/>
      <c r="J6" s="35"/>
      <c r="K6" s="36"/>
      <c r="L6" s="3">
        <v>0.4</v>
      </c>
      <c r="M6" s="2" t="s">
        <v>11</v>
      </c>
      <c r="N6" s="4">
        <v>0.5</v>
      </c>
      <c r="O6" s="37" t="s">
        <v>12</v>
      </c>
      <c r="P6" s="38"/>
      <c r="Q6" s="38"/>
      <c r="R6" s="38"/>
      <c r="S6" s="39"/>
      <c r="T6" s="11" t="s">
        <v>13</v>
      </c>
      <c r="U6" s="7" t="s">
        <v>14</v>
      </c>
      <c r="V6" s="7" t="s">
        <v>15</v>
      </c>
      <c r="W6" s="2" t="s">
        <v>16</v>
      </c>
    </row>
    <row r="7" spans="1:23">
      <c r="A7" s="30" t="s">
        <v>17</v>
      </c>
      <c r="B7" s="31"/>
      <c r="C7" s="30" t="s">
        <v>18</v>
      </c>
      <c r="D7" s="30"/>
      <c r="E7" s="8" t="s">
        <v>19</v>
      </c>
      <c r="F7" s="8"/>
      <c r="G7" s="8" t="s">
        <v>20</v>
      </c>
      <c r="H7" s="8" t="s">
        <v>21</v>
      </c>
      <c r="I7" s="8" t="s">
        <v>22</v>
      </c>
      <c r="J7" s="8" t="s">
        <v>20</v>
      </c>
      <c r="K7" s="8" t="s">
        <v>20</v>
      </c>
      <c r="L7" s="9"/>
      <c r="M7" s="8"/>
      <c r="N7" s="10"/>
      <c r="O7" s="10" t="s">
        <v>23</v>
      </c>
      <c r="P7" s="10" t="s">
        <v>23</v>
      </c>
      <c r="Q7" s="10" t="s">
        <v>23</v>
      </c>
      <c r="R7" s="10" t="s">
        <v>23</v>
      </c>
      <c r="S7" s="10" t="s">
        <v>23</v>
      </c>
      <c r="T7" s="10"/>
      <c r="U7" s="10"/>
      <c r="V7" s="10"/>
      <c r="W7" s="8"/>
    </row>
    <row r="8" spans="1:23">
      <c r="A8" s="27" t="s">
        <v>24</v>
      </c>
      <c r="B8" s="28"/>
      <c r="C8" s="27" t="s">
        <v>25</v>
      </c>
      <c r="D8" s="28"/>
      <c r="E8" s="13"/>
      <c r="F8" s="1">
        <f>E8*0.1</f>
        <v>0</v>
      </c>
      <c r="G8" s="1"/>
      <c r="H8" s="1"/>
      <c r="I8" s="1"/>
      <c r="J8" s="1"/>
      <c r="K8" s="1"/>
      <c r="L8" s="5" t="e">
        <f>AVERAGE(G8:K8)*0.4+T8</f>
        <v>#DIV/0!</v>
      </c>
      <c r="M8" s="1"/>
      <c r="N8" s="6">
        <f>M8*0.5</f>
        <v>0</v>
      </c>
      <c r="O8" s="6"/>
      <c r="P8" s="6"/>
      <c r="Q8" s="6"/>
      <c r="R8" s="6"/>
      <c r="S8" s="6"/>
      <c r="T8" s="6">
        <f>(SUM(O8:S8)/5)*0.3</f>
        <v>0</v>
      </c>
      <c r="U8" s="6" t="e">
        <f>N8+L8+F8</f>
        <v>#DIV/0!</v>
      </c>
      <c r="V8" s="6" t="e">
        <f>INT(U8*10)/10+IF(MOD(U8*10,1)&gt;=0.5,0.1,0)</f>
        <v>#DIV/0!</v>
      </c>
      <c r="W8" s="1" t="e">
        <f>IF(U8&lt;3,3-U8,"No aplica")</f>
        <v>#DIV/0!</v>
      </c>
    </row>
    <row r="9" spans="1:23">
      <c r="A9" s="27" t="s">
        <v>26</v>
      </c>
      <c r="B9" s="28"/>
      <c r="C9" s="27" t="s">
        <v>27</v>
      </c>
      <c r="D9" s="28"/>
      <c r="E9" s="5"/>
      <c r="F9" s="1">
        <f>E9*0.1</f>
        <v>0</v>
      </c>
      <c r="G9" s="1"/>
      <c r="H9" s="1"/>
      <c r="I9" s="1"/>
      <c r="J9" s="1"/>
      <c r="K9" s="1"/>
      <c r="L9" s="5" t="e">
        <f>AVERAGE(G9:K9)*0.4+T9</f>
        <v>#DIV/0!</v>
      </c>
      <c r="M9" s="1"/>
      <c r="N9" s="6">
        <f>M9*0.5</f>
        <v>0</v>
      </c>
      <c r="O9" s="6"/>
      <c r="P9" s="6"/>
      <c r="Q9" s="6"/>
      <c r="R9" s="6"/>
      <c r="S9" s="6"/>
      <c r="T9" s="6">
        <f>(SUM(O9:S9)/5)*0.5</f>
        <v>0</v>
      </c>
      <c r="U9" s="6" t="e">
        <f>N9+L9+F9</f>
        <v>#DIV/0!</v>
      </c>
      <c r="V9" s="6" t="e">
        <f>INT(U9*10)/10+IF(MOD(U9*10,1)&gt;=0.5,0.1,0)</f>
        <v>#DIV/0!</v>
      </c>
      <c r="W9" s="1" t="e">
        <f>IF(U9&lt;3,3-U9,"No aplica")</f>
        <v>#DIV/0!</v>
      </c>
    </row>
    <row r="10" spans="1:23">
      <c r="A10" s="27" t="s">
        <v>28</v>
      </c>
      <c r="B10" s="28"/>
      <c r="C10" s="27" t="s">
        <v>29</v>
      </c>
      <c r="D10" s="28"/>
      <c r="E10" s="5"/>
      <c r="F10" s="1">
        <f>E10*0.1</f>
        <v>0</v>
      </c>
      <c r="G10" s="1"/>
      <c r="H10" s="1"/>
      <c r="I10" s="1"/>
      <c r="J10" s="1"/>
      <c r="K10" s="1"/>
      <c r="L10" s="5" t="e">
        <f>AVERAGE(G10:K10)*0.4+T10</f>
        <v>#DIV/0!</v>
      </c>
      <c r="M10" s="1"/>
      <c r="N10" s="6">
        <f>M10*0.5</f>
        <v>0</v>
      </c>
      <c r="O10" s="6"/>
      <c r="P10" s="6"/>
      <c r="Q10" s="6"/>
      <c r="R10" s="6"/>
      <c r="S10" s="6"/>
      <c r="T10" s="6">
        <f>(SUM(O10:S10)/5)*0.5</f>
        <v>0</v>
      </c>
      <c r="U10" s="6" t="e">
        <f>N10+L10+F10</f>
        <v>#DIV/0!</v>
      </c>
      <c r="V10" s="6" t="e">
        <f>INT(U10*10)/10+IF(MOD(U10*10,1)&gt;=0.5,0.1,0)</f>
        <v>#DIV/0!</v>
      </c>
      <c r="W10" s="1" t="e">
        <f>IF(U10&lt;3,3-U10,"No aplica")</f>
        <v>#DIV/0!</v>
      </c>
    </row>
    <row r="11" spans="1:23">
      <c r="A11" s="27" t="s">
        <v>30</v>
      </c>
      <c r="B11" s="28"/>
      <c r="C11" s="27" t="s">
        <v>31</v>
      </c>
      <c r="D11" s="28"/>
      <c r="E11" s="5"/>
      <c r="F11" s="1">
        <f>E11*0.1</f>
        <v>0</v>
      </c>
      <c r="G11" s="1"/>
      <c r="H11" s="1"/>
      <c r="I11" s="1"/>
      <c r="J11" s="1"/>
      <c r="K11" s="1"/>
      <c r="L11" s="5" t="e">
        <f>AVERAGE(G11:K11)*0.4+T11</f>
        <v>#DIV/0!</v>
      </c>
      <c r="M11" s="1"/>
      <c r="N11" s="6">
        <f>M11*0.5</f>
        <v>0</v>
      </c>
      <c r="O11" s="6"/>
      <c r="P11" s="6"/>
      <c r="Q11" s="6"/>
      <c r="R11" s="6"/>
      <c r="S11" s="6"/>
      <c r="T11" s="6">
        <f>(SUM(O11:S11)/5)*0.5</f>
        <v>0</v>
      </c>
      <c r="U11" s="6" t="e">
        <f>N11+L11+F11</f>
        <v>#DIV/0!</v>
      </c>
      <c r="V11" s="6" t="e">
        <f>INT(U11*10)/10+IF(MOD(U11*10,1)&gt;=0.5,0.1,0)</f>
        <v>#DIV/0!</v>
      </c>
      <c r="W11" s="1" t="e">
        <f>IF(U11&lt;3,3-U11,"No aplica")</f>
        <v>#DIV/0!</v>
      </c>
    </row>
    <row r="12" spans="1:23">
      <c r="A12" s="27" t="s">
        <v>32</v>
      </c>
      <c r="B12" s="28"/>
      <c r="C12" s="27" t="s">
        <v>33</v>
      </c>
      <c r="D12" s="28"/>
      <c r="E12" s="5"/>
      <c r="F12" s="1">
        <f>E12*0.1</f>
        <v>0</v>
      </c>
      <c r="G12" s="1"/>
      <c r="H12" s="1"/>
      <c r="I12" s="1"/>
      <c r="J12" s="1"/>
      <c r="K12" s="1"/>
      <c r="L12" s="5" t="e">
        <f>AVERAGE(G12:K12)*0.4+T12</f>
        <v>#DIV/0!</v>
      </c>
      <c r="M12" s="1"/>
      <c r="N12" s="6">
        <f>M12*0.5</f>
        <v>0</v>
      </c>
      <c r="O12" s="6"/>
      <c r="P12" s="6"/>
      <c r="Q12" s="6"/>
      <c r="R12" s="6"/>
      <c r="S12" s="6"/>
      <c r="T12" s="6">
        <f>(SUM(O12:S12)/5)*0.5</f>
        <v>0</v>
      </c>
      <c r="U12" s="6" t="e">
        <f>N12+L12+F12</f>
        <v>#DIV/0!</v>
      </c>
      <c r="V12" s="6" t="e">
        <f>INT(U12*10)/10+IF(MOD(U12*10,1)&gt;=0.5,0.1,0)</f>
        <v>#DIV/0!</v>
      </c>
      <c r="W12" s="1" t="e">
        <f>IF(U12&lt;3,3-U12,"No aplica")</f>
        <v>#DIV/0!</v>
      </c>
    </row>
    <row r="13" spans="1:23">
      <c r="A13" s="27" t="s">
        <v>34</v>
      </c>
      <c r="B13" s="28"/>
      <c r="C13" s="27" t="s">
        <v>35</v>
      </c>
      <c r="D13" s="28"/>
      <c r="E13" s="5"/>
      <c r="F13" s="1">
        <f>E13*0.1</f>
        <v>0</v>
      </c>
      <c r="G13" s="1"/>
      <c r="H13" s="1"/>
      <c r="I13" s="1"/>
      <c r="J13" s="1"/>
      <c r="K13" s="1"/>
      <c r="L13" s="5" t="e">
        <f>AVERAGE(G13:K13)*0.4+T13</f>
        <v>#DIV/0!</v>
      </c>
      <c r="M13" s="1"/>
      <c r="N13" s="6">
        <f>M13*0.5</f>
        <v>0</v>
      </c>
      <c r="O13" s="6"/>
      <c r="P13" s="6"/>
      <c r="Q13" s="6"/>
      <c r="R13" s="6"/>
      <c r="S13" s="6"/>
      <c r="T13" s="6">
        <f>(SUM(O13:S13)/5)*0.5</f>
        <v>0</v>
      </c>
      <c r="U13" s="6" t="e">
        <f>N13+L13+F13</f>
        <v>#DIV/0!</v>
      </c>
      <c r="V13" s="6" t="e">
        <f>INT(U13*10)/10+IF(MOD(U13*10,1)&gt;=0.5,0.1,0)</f>
        <v>#DIV/0!</v>
      </c>
      <c r="W13" s="1" t="e">
        <f>IF(U13&lt;3,3-U13,"No aplica")</f>
        <v>#DIV/0!</v>
      </c>
    </row>
    <row r="14" spans="1:23">
      <c r="A14" s="32" t="s">
        <v>36</v>
      </c>
      <c r="B14" s="33"/>
      <c r="C14" s="32" t="s">
        <v>37</v>
      </c>
      <c r="D14" s="33"/>
      <c r="E14" s="5"/>
      <c r="F14" s="1">
        <f>E14*0.1</f>
        <v>0</v>
      </c>
      <c r="G14" s="1"/>
      <c r="H14" s="1"/>
      <c r="I14" s="1"/>
      <c r="J14" s="1"/>
      <c r="K14" s="1"/>
      <c r="L14" s="5" t="e">
        <f>AVERAGE(G14:K14)*0.4+T14</f>
        <v>#DIV/0!</v>
      </c>
      <c r="M14" s="1"/>
      <c r="N14" s="6">
        <f>M14*0.5</f>
        <v>0</v>
      </c>
      <c r="O14" s="6"/>
      <c r="P14" s="6"/>
      <c r="Q14" s="6"/>
      <c r="R14" s="6"/>
      <c r="S14" s="6"/>
      <c r="T14" s="6">
        <f>(SUM(O14:S14)/5)*0.5</f>
        <v>0</v>
      </c>
      <c r="U14" s="6" t="e">
        <f>N14+L14+F14</f>
        <v>#DIV/0!</v>
      </c>
      <c r="V14" s="6" t="e">
        <f>INT(U14*10)/10+IF(MOD(U14*10,1)&gt;=0.5,0.1,0)</f>
        <v>#DIV/0!</v>
      </c>
      <c r="W14" s="1" t="e">
        <f>IF(U14&lt;3,3-U14,"No aplica")</f>
        <v>#DIV/0!</v>
      </c>
    </row>
    <row r="15" spans="1:23">
      <c r="A15" s="32" t="s">
        <v>38</v>
      </c>
      <c r="B15" s="33"/>
      <c r="C15" s="32" t="s">
        <v>39</v>
      </c>
      <c r="D15" s="33"/>
      <c r="E15" s="5"/>
      <c r="F15" s="1">
        <f>E15*0.1</f>
        <v>0</v>
      </c>
      <c r="G15" s="1"/>
      <c r="H15" s="1"/>
      <c r="I15" s="1"/>
      <c r="J15" s="1"/>
      <c r="K15" s="1"/>
      <c r="L15" s="5" t="e">
        <f>AVERAGE(G15:K15)*0.4+T15</f>
        <v>#DIV/0!</v>
      </c>
      <c r="M15" s="1"/>
      <c r="N15" s="6">
        <f>M15*0.5</f>
        <v>0</v>
      </c>
      <c r="O15" s="6"/>
      <c r="P15" s="6"/>
      <c r="Q15" s="6"/>
      <c r="R15" s="6"/>
      <c r="S15" s="6"/>
      <c r="T15" s="6">
        <f>(SUM(O15:S15)/5)*0.5</f>
        <v>0</v>
      </c>
      <c r="U15" s="6" t="e">
        <f>N15+L15+F15</f>
        <v>#DIV/0!</v>
      </c>
      <c r="V15" s="6" t="e">
        <f>INT(U15*10)/10+IF(MOD(U15*10,1)&gt;=0.5,0.1,0)</f>
        <v>#DIV/0!</v>
      </c>
      <c r="W15" s="1" t="e">
        <f>IF(U15&lt;3,3-U15,"No aplica")</f>
        <v>#DIV/0!</v>
      </c>
    </row>
    <row r="16" spans="1:23">
      <c r="A16" s="32" t="s">
        <v>40</v>
      </c>
      <c r="B16" s="33"/>
      <c r="C16" s="32" t="s">
        <v>41</v>
      </c>
      <c r="D16" s="33"/>
      <c r="E16" s="5"/>
      <c r="F16" s="1">
        <f>E16*0.1</f>
        <v>0</v>
      </c>
      <c r="G16" s="1"/>
      <c r="H16" s="1"/>
      <c r="I16" s="1"/>
      <c r="J16" s="1"/>
      <c r="K16" s="1"/>
      <c r="L16" s="5" t="e">
        <f>AVERAGE(G16:K16)*0.4+T16</f>
        <v>#DIV/0!</v>
      </c>
      <c r="M16" s="1"/>
      <c r="N16" s="6">
        <f>M16*0.5</f>
        <v>0</v>
      </c>
      <c r="O16" s="6"/>
      <c r="P16" s="6"/>
      <c r="Q16" s="6"/>
      <c r="R16" s="6"/>
      <c r="S16" s="6"/>
      <c r="T16" s="6">
        <f>(SUM(O16:S16)/5)*0.5</f>
        <v>0</v>
      </c>
      <c r="U16" s="6" t="e">
        <f>N16+L16+F16</f>
        <v>#DIV/0!</v>
      </c>
      <c r="V16" s="6" t="e">
        <f>INT(U16*10)/10+IF(MOD(U16*10,1)&gt;=0.5,0.1,0)</f>
        <v>#DIV/0!</v>
      </c>
      <c r="W16" s="1" t="e">
        <f>IF(U16&lt;3,3-U16,"No aplica")</f>
        <v>#DIV/0!</v>
      </c>
    </row>
    <row r="17" spans="1:23">
      <c r="A17" s="27" t="s">
        <v>42</v>
      </c>
      <c r="B17" s="28"/>
      <c r="C17" s="27" t="s">
        <v>43</v>
      </c>
      <c r="D17" s="28"/>
      <c r="E17" s="5"/>
      <c r="F17" s="1">
        <f>E17*0.1</f>
        <v>0</v>
      </c>
      <c r="G17" s="1"/>
      <c r="H17" s="1"/>
      <c r="I17" s="1"/>
      <c r="J17" s="1"/>
      <c r="K17" s="1"/>
      <c r="L17" s="5" t="e">
        <f>AVERAGE(G17:K17)*0.4+T17</f>
        <v>#DIV/0!</v>
      </c>
      <c r="M17" s="1"/>
      <c r="N17" s="6">
        <f>M17*0.5</f>
        <v>0</v>
      </c>
      <c r="O17" s="6"/>
      <c r="P17" s="6"/>
      <c r="Q17" s="6"/>
      <c r="R17" s="6"/>
      <c r="S17" s="6"/>
      <c r="T17" s="6">
        <f>(SUM(O17:S17)/5)*0.5</f>
        <v>0</v>
      </c>
      <c r="U17" s="6" t="e">
        <f>N17+L17+F17</f>
        <v>#DIV/0!</v>
      </c>
      <c r="V17" s="6" t="e">
        <f>INT(U17*10)/10+IF(MOD(U17*10,1)&gt;=0.5,0.1,0)</f>
        <v>#DIV/0!</v>
      </c>
      <c r="W17" s="1" t="e">
        <f>IF(U17&lt;3,3-U17,"No aplica")</f>
        <v>#DIV/0!</v>
      </c>
    </row>
    <row r="18" spans="1:23">
      <c r="A18" s="27" t="s">
        <v>44</v>
      </c>
      <c r="B18" s="28"/>
      <c r="C18" s="27" t="s">
        <v>45</v>
      </c>
      <c r="D18" s="28"/>
      <c r="E18" s="5"/>
      <c r="F18" s="1">
        <f>E18*0.1</f>
        <v>0</v>
      </c>
      <c r="G18" s="1"/>
      <c r="H18" s="1"/>
      <c r="I18" s="1"/>
      <c r="J18" s="1"/>
      <c r="K18" s="1"/>
      <c r="L18" s="5" t="e">
        <f>AVERAGE(G18:K18)*0.4+T18</f>
        <v>#DIV/0!</v>
      </c>
      <c r="M18" s="1"/>
      <c r="N18" s="6">
        <f>M18*0.5</f>
        <v>0</v>
      </c>
      <c r="O18" s="6"/>
      <c r="P18" s="6"/>
      <c r="Q18" s="6"/>
      <c r="R18" s="6"/>
      <c r="S18" s="6"/>
      <c r="T18" s="6">
        <f>(SUM(O18:S18)/5)*0.5</f>
        <v>0</v>
      </c>
      <c r="U18" s="6" t="e">
        <f>N18+L18+F18</f>
        <v>#DIV/0!</v>
      </c>
      <c r="V18" s="6" t="e">
        <f>INT(U18*10)/10+IF(MOD(U18*10,1)&gt;=0.5,0.1,0)</f>
        <v>#DIV/0!</v>
      </c>
      <c r="W18" s="1" t="e">
        <f>IF(U18&lt;3,3-U18,"No aplica")</f>
        <v>#DIV/0!</v>
      </c>
    </row>
    <row r="19" spans="1:23">
      <c r="A19" s="27" t="s">
        <v>46</v>
      </c>
      <c r="B19" s="28"/>
      <c r="C19" s="27" t="s">
        <v>47</v>
      </c>
      <c r="D19" s="28"/>
      <c r="E19" s="5"/>
      <c r="F19" s="1">
        <f>E19*0.1</f>
        <v>0</v>
      </c>
      <c r="G19" s="1"/>
      <c r="H19" s="1"/>
      <c r="I19" s="1"/>
      <c r="J19" s="1"/>
      <c r="K19" s="1"/>
      <c r="L19" s="5" t="e">
        <f>AVERAGE(G19:K19)*0.4+T19</f>
        <v>#DIV/0!</v>
      </c>
      <c r="M19" s="1"/>
      <c r="N19" s="6">
        <f>M19*0.5</f>
        <v>0</v>
      </c>
      <c r="O19" s="6"/>
      <c r="P19" s="6"/>
      <c r="Q19" s="6"/>
      <c r="R19" s="6"/>
      <c r="S19" s="6"/>
      <c r="T19" s="6">
        <f>(SUM(O19:S19)/5)*0.5</f>
        <v>0</v>
      </c>
      <c r="U19" s="6" t="e">
        <f>N19+L19+F19</f>
        <v>#DIV/0!</v>
      </c>
      <c r="V19" s="6" t="e">
        <f>INT(U19*10)/10+IF(MOD(U19*10,1)&gt;=0.5,0.1,0)</f>
        <v>#DIV/0!</v>
      </c>
      <c r="W19" s="1" t="e">
        <f>IF(U19&lt;3,3-U19,"No aplica")</f>
        <v>#DIV/0!</v>
      </c>
    </row>
    <row r="20" spans="1:23">
      <c r="A20" s="27" t="s">
        <v>48</v>
      </c>
      <c r="B20" s="28"/>
      <c r="C20" s="27" t="s">
        <v>49</v>
      </c>
      <c r="D20" s="28"/>
      <c r="E20" s="5"/>
      <c r="F20" s="1">
        <f>E20*0.1</f>
        <v>0</v>
      </c>
      <c r="G20" s="1"/>
      <c r="H20" s="1"/>
      <c r="I20" s="1"/>
      <c r="J20" s="1"/>
      <c r="K20" s="1"/>
      <c r="L20" s="5" t="e">
        <f>AVERAGE(G20:K20)*0.4+T20</f>
        <v>#DIV/0!</v>
      </c>
      <c r="M20" s="1"/>
      <c r="N20" s="6">
        <f>M20*0.5</f>
        <v>0</v>
      </c>
      <c r="O20" s="6"/>
      <c r="P20" s="6"/>
      <c r="Q20" s="6"/>
      <c r="R20" s="6"/>
      <c r="S20" s="6"/>
      <c r="T20" s="6">
        <f>(SUM(O20:S20)/5)*0.5</f>
        <v>0</v>
      </c>
      <c r="U20" s="6" t="e">
        <f>N20+L20+F20</f>
        <v>#DIV/0!</v>
      </c>
      <c r="V20" s="6" t="e">
        <f>INT(U20*10)/10+IF(MOD(U20*10,1)&gt;=0.5,0.1,0)</f>
        <v>#DIV/0!</v>
      </c>
      <c r="W20" s="1" t="e">
        <f>IF(U20&lt;3,3-U20,"No aplica")</f>
        <v>#DIV/0!</v>
      </c>
    </row>
    <row r="21" spans="1:23">
      <c r="A21" s="27" t="s">
        <v>50</v>
      </c>
      <c r="B21" s="28"/>
      <c r="C21" s="27" t="s">
        <v>51</v>
      </c>
      <c r="D21" s="28"/>
      <c r="E21" s="5"/>
      <c r="F21" s="1">
        <f>E21*0.1</f>
        <v>0</v>
      </c>
      <c r="G21" s="1"/>
      <c r="H21" s="1"/>
      <c r="I21" s="1"/>
      <c r="J21" s="1"/>
      <c r="K21" s="1"/>
      <c r="L21" s="5" t="e">
        <f>AVERAGE(G21:K21)*0.4+T21</f>
        <v>#DIV/0!</v>
      </c>
      <c r="M21" s="1"/>
      <c r="N21" s="6">
        <f>M21*0.5</f>
        <v>0</v>
      </c>
      <c r="O21" s="6"/>
      <c r="P21" s="6"/>
      <c r="Q21" s="6"/>
      <c r="R21" s="6"/>
      <c r="S21" s="6"/>
      <c r="T21" s="6">
        <f>(SUM(O21:S21)/5)*0.5</f>
        <v>0</v>
      </c>
      <c r="U21" s="6" t="e">
        <f>N21+L21+F21</f>
        <v>#DIV/0!</v>
      </c>
      <c r="V21" s="6" t="e">
        <f>INT(U21*10)/10+IF(MOD(U21*10,1)&gt;=0.5,0.1,0)</f>
        <v>#DIV/0!</v>
      </c>
      <c r="W21" s="1" t="e">
        <f>IF(U21&lt;3,3-U21,"No aplica")</f>
        <v>#DIV/0!</v>
      </c>
    </row>
    <row r="22" spans="1:23">
      <c r="A22" s="27" t="s">
        <v>52</v>
      </c>
      <c r="B22" s="28"/>
      <c r="C22" s="27" t="s">
        <v>53</v>
      </c>
      <c r="D22" s="28"/>
      <c r="E22" s="5"/>
      <c r="F22" s="1">
        <f>E22*0.1</f>
        <v>0</v>
      </c>
      <c r="G22" s="1"/>
      <c r="H22" s="1"/>
      <c r="I22" s="1"/>
      <c r="J22" s="1"/>
      <c r="K22" s="1"/>
      <c r="L22" s="5" t="e">
        <f>AVERAGE(G22:K22)*0.4+T22</f>
        <v>#DIV/0!</v>
      </c>
      <c r="M22" s="1"/>
      <c r="N22" s="6">
        <f>M22*0.5</f>
        <v>0</v>
      </c>
      <c r="O22" s="6"/>
      <c r="P22" s="6"/>
      <c r="Q22" s="6"/>
      <c r="R22" s="6"/>
      <c r="S22" s="6"/>
      <c r="T22" s="6">
        <f>(SUM(O22:S22)/5)*0.5</f>
        <v>0</v>
      </c>
      <c r="U22" s="6" t="e">
        <f>N22+L22+F22</f>
        <v>#DIV/0!</v>
      </c>
      <c r="V22" s="6" t="e">
        <f>INT(U22*10)/10+IF(MOD(U22*10,1)&gt;=0.5,0.1,0)</f>
        <v>#DIV/0!</v>
      </c>
      <c r="W22" s="1" t="e">
        <f>IF(U22&lt;3,3-U22,"No aplica")</f>
        <v>#DIV/0!</v>
      </c>
    </row>
    <row r="23" spans="1:23">
      <c r="A23" s="27" t="s">
        <v>54</v>
      </c>
      <c r="B23" s="28"/>
      <c r="C23" s="27" t="s">
        <v>55</v>
      </c>
      <c r="D23" s="28"/>
      <c r="E23" s="5"/>
      <c r="F23" s="1">
        <f>E23*0.1</f>
        <v>0</v>
      </c>
      <c r="G23" s="1"/>
      <c r="H23" s="1"/>
      <c r="I23" s="1"/>
      <c r="J23" s="1"/>
      <c r="K23" s="1"/>
      <c r="L23" s="5" t="e">
        <f>AVERAGE(G23:K23)*0.4+T23</f>
        <v>#DIV/0!</v>
      </c>
      <c r="M23" s="1"/>
      <c r="N23" s="6">
        <f>M23*0.5</f>
        <v>0</v>
      </c>
      <c r="O23" s="6"/>
      <c r="P23" s="6"/>
      <c r="Q23" s="6"/>
      <c r="R23" s="6"/>
      <c r="S23" s="6"/>
      <c r="T23" s="6">
        <f>(SUM(O23:S23)/5)*0.5</f>
        <v>0</v>
      </c>
      <c r="U23" s="6" t="e">
        <f>N23+L23+F23</f>
        <v>#DIV/0!</v>
      </c>
      <c r="V23" s="6" t="e">
        <f>INT(U23*10)/10+IF(MOD(U23*10,1)&gt;=0.5,0.1,0)</f>
        <v>#DIV/0!</v>
      </c>
      <c r="W23" s="1" t="e">
        <f>IF(U23&lt;3,3-U23,"No aplica")</f>
        <v>#DIV/0!</v>
      </c>
    </row>
    <row r="24" spans="1:23">
      <c r="A24" s="27" t="s">
        <v>56</v>
      </c>
      <c r="B24" s="28"/>
      <c r="C24" s="27" t="s">
        <v>57</v>
      </c>
      <c r="D24" s="28"/>
      <c r="E24" s="5"/>
      <c r="F24" s="1">
        <f>E24*0.1</f>
        <v>0</v>
      </c>
      <c r="G24" s="1"/>
      <c r="H24" s="1"/>
      <c r="I24" s="1"/>
      <c r="J24" s="1"/>
      <c r="K24" s="1"/>
      <c r="L24" s="5" t="e">
        <f>AVERAGE(G24:K24)*0.4+T24</f>
        <v>#DIV/0!</v>
      </c>
      <c r="M24" s="1"/>
      <c r="N24" s="6">
        <f>M24*0.5</f>
        <v>0</v>
      </c>
      <c r="O24" s="6"/>
      <c r="P24" s="6"/>
      <c r="Q24" s="6"/>
      <c r="R24" s="6"/>
      <c r="S24" s="6"/>
      <c r="T24" s="6">
        <f>(SUM(O24:S24)/5)*0.5</f>
        <v>0</v>
      </c>
      <c r="U24" s="6" t="e">
        <f>N24+L24+F24</f>
        <v>#DIV/0!</v>
      </c>
      <c r="V24" s="6" t="e">
        <f>INT(U24*10)/10+IF(MOD(U24*10,1)&gt;=0.5,0.1,0)</f>
        <v>#DIV/0!</v>
      </c>
      <c r="W24" s="1" t="e">
        <f>IF(U24&lt;3,3-U24,"No aplica")</f>
        <v>#DIV/0!</v>
      </c>
    </row>
    <row r="25" spans="1:23">
      <c r="A25" s="27" t="s">
        <v>58</v>
      </c>
      <c r="B25" s="28"/>
      <c r="C25" s="27" t="s">
        <v>59</v>
      </c>
      <c r="D25" s="28"/>
      <c r="E25" s="5"/>
      <c r="F25" s="1">
        <f>E25*0.1</f>
        <v>0</v>
      </c>
      <c r="G25" s="1"/>
      <c r="H25" s="1"/>
      <c r="I25" s="1"/>
      <c r="J25" s="1"/>
      <c r="K25" s="1"/>
      <c r="L25" s="5" t="e">
        <f>AVERAGE(G25:K25)*0.4+T25</f>
        <v>#DIV/0!</v>
      </c>
      <c r="M25" s="1"/>
      <c r="N25" s="6">
        <f>M25*0.5</f>
        <v>0</v>
      </c>
      <c r="O25" s="6"/>
      <c r="P25" s="6"/>
      <c r="Q25" s="6"/>
      <c r="R25" s="6"/>
      <c r="S25" s="6"/>
      <c r="T25" s="6">
        <f>(SUM(O25:S25)/5)*0.5</f>
        <v>0</v>
      </c>
      <c r="U25" s="6" t="e">
        <f>N25+L25+F25</f>
        <v>#DIV/0!</v>
      </c>
      <c r="V25" s="6" t="e">
        <f>INT(U25*10)/10+IF(MOD(U25*10,1)&gt;=0.5,0.1,0)</f>
        <v>#DIV/0!</v>
      </c>
      <c r="W25" s="1" t="e">
        <f>IF(U25&lt;3,3-U25,"No aplica")</f>
        <v>#DIV/0!</v>
      </c>
    </row>
    <row r="26" spans="1:23">
      <c r="A26" s="27" t="s">
        <v>60</v>
      </c>
      <c r="B26" s="28"/>
      <c r="C26" s="27" t="s">
        <v>61</v>
      </c>
      <c r="D26" s="28"/>
      <c r="E26" s="5"/>
      <c r="F26" s="1">
        <f>E26*0.1</f>
        <v>0</v>
      </c>
      <c r="G26" s="1"/>
      <c r="H26" s="1"/>
      <c r="I26" s="1"/>
      <c r="J26" s="1"/>
      <c r="K26" s="1"/>
      <c r="L26" s="5" t="e">
        <f>AVERAGE(G26:K26)*0.4+T26</f>
        <v>#DIV/0!</v>
      </c>
      <c r="M26" s="1"/>
      <c r="N26" s="6">
        <f>M26*0.5</f>
        <v>0</v>
      </c>
      <c r="O26" s="6"/>
      <c r="P26" s="6"/>
      <c r="Q26" s="6"/>
      <c r="R26" s="6"/>
      <c r="S26" s="6"/>
      <c r="T26" s="6">
        <f>(SUM(O26:S26)/5)*0.5</f>
        <v>0</v>
      </c>
      <c r="U26" s="6" t="e">
        <f>N26+L26+F26</f>
        <v>#DIV/0!</v>
      </c>
      <c r="V26" s="6" t="e">
        <f>INT(U26*10)/10+IF(MOD(U26*10,1)&gt;=0.5,0.1,0)</f>
        <v>#DIV/0!</v>
      </c>
      <c r="W26" s="1" t="e">
        <f>IF(U26&lt;3,3-U26,"No aplica")</f>
        <v>#DIV/0!</v>
      </c>
    </row>
    <row r="27" spans="1:23">
      <c r="A27" s="27" t="s">
        <v>62</v>
      </c>
      <c r="B27" s="28"/>
      <c r="C27" s="27" t="s">
        <v>63</v>
      </c>
      <c r="D27" s="28"/>
      <c r="E27" s="5"/>
      <c r="F27" s="1">
        <f>E27*0.1</f>
        <v>0</v>
      </c>
      <c r="G27" s="1"/>
      <c r="H27" s="1"/>
      <c r="I27" s="1"/>
      <c r="J27" s="1"/>
      <c r="K27" s="1"/>
      <c r="L27" s="5" t="e">
        <f>AVERAGE(G27:K27)*0.4+T27</f>
        <v>#DIV/0!</v>
      </c>
      <c r="M27" s="1"/>
      <c r="N27" s="6">
        <f>M27*0.5</f>
        <v>0</v>
      </c>
      <c r="O27" s="6"/>
      <c r="P27" s="6"/>
      <c r="Q27" s="6"/>
      <c r="R27" s="6"/>
      <c r="S27" s="6"/>
      <c r="T27" s="6">
        <f>(SUM(O27:S27)/5)*0.5</f>
        <v>0</v>
      </c>
      <c r="U27" s="6" t="e">
        <f>N27+L27+F27</f>
        <v>#DIV/0!</v>
      </c>
      <c r="V27" s="6" t="e">
        <f>INT(U27*10)/10+IF(MOD(U27*10,1)&gt;=0.5,0.1,0)</f>
        <v>#DIV/0!</v>
      </c>
      <c r="W27" s="1" t="e">
        <f>IF(U27&lt;3,3-U27,"No aplica")</f>
        <v>#DIV/0!</v>
      </c>
    </row>
    <row r="28" spans="1:23">
      <c r="A28" s="27" t="s">
        <v>64</v>
      </c>
      <c r="B28" s="28"/>
      <c r="C28" s="27" t="s">
        <v>65</v>
      </c>
      <c r="D28" s="28"/>
      <c r="E28" s="5"/>
      <c r="F28" s="1">
        <f>E28*0.1</f>
        <v>0</v>
      </c>
      <c r="G28" s="1"/>
      <c r="H28" s="1"/>
      <c r="I28" s="1"/>
      <c r="J28" s="1"/>
      <c r="K28" s="1"/>
      <c r="L28" s="5" t="e">
        <f>AVERAGE(G28:K28)*0.4+T28</f>
        <v>#DIV/0!</v>
      </c>
      <c r="M28" s="1"/>
      <c r="N28" s="6">
        <f>M28*0.5</f>
        <v>0</v>
      </c>
      <c r="O28" s="6"/>
      <c r="P28" s="6"/>
      <c r="Q28" s="6"/>
      <c r="R28" s="6"/>
      <c r="S28" s="6"/>
      <c r="T28" s="6">
        <f>(SUM(O28:S28)/5)*0.5</f>
        <v>0</v>
      </c>
      <c r="U28" s="6" t="e">
        <f>N28+L28+F28</f>
        <v>#DIV/0!</v>
      </c>
      <c r="V28" s="6" t="e">
        <f>INT(U28*10)/10+IF(MOD(U28*10,1)&gt;=0.5,0.1,0)</f>
        <v>#DIV/0!</v>
      </c>
      <c r="W28" s="1" t="e">
        <f>IF(U28&lt;3,3-U28,"No aplica")</f>
        <v>#DIV/0!</v>
      </c>
    </row>
    <row r="29" spans="1:23">
      <c r="A29" s="27" t="s">
        <v>66</v>
      </c>
      <c r="B29" s="28"/>
      <c r="C29" s="27" t="s">
        <v>67</v>
      </c>
      <c r="D29" s="28"/>
      <c r="E29" s="5"/>
      <c r="F29" s="1">
        <f>E29*0.1</f>
        <v>0</v>
      </c>
      <c r="G29" s="1"/>
      <c r="H29" s="1"/>
      <c r="I29" s="1"/>
      <c r="J29" s="1"/>
      <c r="K29" s="1"/>
      <c r="L29" s="5" t="e">
        <f>AVERAGE(G29:K29)*0.4+T29</f>
        <v>#DIV/0!</v>
      </c>
      <c r="M29" s="1"/>
      <c r="N29" s="6">
        <f>M29*0.5</f>
        <v>0</v>
      </c>
      <c r="O29" s="6"/>
      <c r="P29" s="6"/>
      <c r="Q29" s="6"/>
      <c r="R29" s="6"/>
      <c r="S29" s="6"/>
      <c r="T29" s="6">
        <f>(SUM(O29:S29)/5)*0.5</f>
        <v>0</v>
      </c>
      <c r="U29" s="6" t="e">
        <f>N29+L29+F29</f>
        <v>#DIV/0!</v>
      </c>
      <c r="V29" s="6" t="e">
        <f>INT(U29*10)/10+IF(MOD(U29*10,1)&gt;=0.5,0.1,0)</f>
        <v>#DIV/0!</v>
      </c>
      <c r="W29" s="1" t="e">
        <f>IF(U29&lt;3,3-U29,"No aplica")</f>
        <v>#DIV/0!</v>
      </c>
    </row>
    <row r="30" spans="1:23">
      <c r="A30" s="27" t="s">
        <v>68</v>
      </c>
      <c r="B30" s="28"/>
      <c r="C30" s="27" t="s">
        <v>69</v>
      </c>
      <c r="D30" s="28"/>
      <c r="E30" s="5"/>
      <c r="F30" s="1">
        <f>E30*0.1</f>
        <v>0</v>
      </c>
      <c r="G30" s="1"/>
      <c r="H30" s="1"/>
      <c r="I30" s="1"/>
      <c r="J30" s="1"/>
      <c r="K30" s="1"/>
      <c r="L30" s="5" t="e">
        <f>AVERAGE(G30:K30)*0.4+T30</f>
        <v>#DIV/0!</v>
      </c>
      <c r="M30" s="1"/>
      <c r="N30" s="6">
        <f>M30*0.5</f>
        <v>0</v>
      </c>
      <c r="O30" s="6"/>
      <c r="P30" s="6"/>
      <c r="Q30" s="6"/>
      <c r="R30" s="6"/>
      <c r="S30" s="6"/>
      <c r="T30" s="6">
        <f>(SUM(O30:S30)/5)*0.5</f>
        <v>0</v>
      </c>
      <c r="U30" s="6" t="e">
        <f>N30+L30+F30</f>
        <v>#DIV/0!</v>
      </c>
      <c r="V30" s="6" t="e">
        <f>INT(U30*10)/10+IF(MOD(U30*10,1)&gt;=0.5,0.1,0)</f>
        <v>#DIV/0!</v>
      </c>
      <c r="W30" s="1" t="e">
        <f>IF(U30&lt;3,3-U30,"No aplica")</f>
        <v>#DIV/0!</v>
      </c>
    </row>
    <row r="31" spans="1:23">
      <c r="A31" s="27" t="s">
        <v>70</v>
      </c>
      <c r="B31" s="28"/>
      <c r="C31" s="27" t="s">
        <v>71</v>
      </c>
      <c r="D31" s="28"/>
      <c r="E31" s="5"/>
      <c r="F31" s="1">
        <f>E31*0.1</f>
        <v>0</v>
      </c>
      <c r="G31" s="1"/>
      <c r="H31" s="1"/>
      <c r="I31" s="1"/>
      <c r="J31" s="1"/>
      <c r="K31" s="1"/>
      <c r="L31" s="5" t="e">
        <f>AVERAGE(G31:K31)*0.4+T31</f>
        <v>#DIV/0!</v>
      </c>
      <c r="M31" s="1"/>
      <c r="N31" s="6">
        <f>M31*0.5</f>
        <v>0</v>
      </c>
      <c r="O31" s="6"/>
      <c r="P31" s="6"/>
      <c r="Q31" s="6"/>
      <c r="R31" s="6"/>
      <c r="S31" s="6"/>
      <c r="T31" s="6">
        <f>(SUM(O31:S31)/5)*0.5</f>
        <v>0</v>
      </c>
      <c r="U31" s="6" t="e">
        <f>N31+L31+F31</f>
        <v>#DIV/0!</v>
      </c>
      <c r="V31" s="6" t="e">
        <f>INT(U31*10)/10+IF(MOD(U31*10,1)&gt;=0.5,0.1,0)</f>
        <v>#DIV/0!</v>
      </c>
      <c r="W31" s="1" t="e">
        <f>IF(U31&lt;3,3-U31,"No aplica")</f>
        <v>#DIV/0!</v>
      </c>
    </row>
    <row r="32" spans="1:23">
      <c r="A32" s="27" t="s">
        <v>72</v>
      </c>
      <c r="B32" s="28"/>
      <c r="C32" s="27" t="s">
        <v>73</v>
      </c>
      <c r="D32" s="28"/>
      <c r="E32" s="5"/>
      <c r="F32" s="1">
        <f>E32*0.1</f>
        <v>0</v>
      </c>
      <c r="G32" s="1"/>
      <c r="H32" s="1"/>
      <c r="I32" s="1"/>
      <c r="J32" s="5"/>
      <c r="K32" s="1"/>
      <c r="L32" s="5" t="e">
        <f>AVERAGE(G32:K32)*0.4+T32</f>
        <v>#DIV/0!</v>
      </c>
      <c r="M32" s="1"/>
      <c r="N32" s="6">
        <f>M32*0.5</f>
        <v>0</v>
      </c>
      <c r="O32" s="6"/>
      <c r="P32" s="6"/>
      <c r="Q32" s="6"/>
      <c r="R32" s="6"/>
      <c r="S32" s="6"/>
      <c r="T32" s="6">
        <f>(SUM(O32:S32)/5)*0.5</f>
        <v>0</v>
      </c>
      <c r="U32" s="6" t="e">
        <f>N32+L32+F32</f>
        <v>#DIV/0!</v>
      </c>
      <c r="V32" s="6" t="e">
        <f>INT(U32*10)/10+IF(MOD(U32*10,1)&gt;=0.5,0.1,0)</f>
        <v>#DIV/0!</v>
      </c>
      <c r="W32" s="1" t="e">
        <f>IF(U32&lt;3,3-U32,"No aplica")</f>
        <v>#DIV/0!</v>
      </c>
    </row>
    <row r="33" spans="1:23">
      <c r="A33" s="32" t="s">
        <v>74</v>
      </c>
      <c r="B33" s="33"/>
      <c r="C33" s="32" t="s">
        <v>75</v>
      </c>
      <c r="D33" s="33"/>
      <c r="E33" s="5"/>
      <c r="F33" s="1">
        <f>E33*0.1</f>
        <v>0</v>
      </c>
      <c r="G33" s="1"/>
      <c r="H33" s="1"/>
      <c r="I33" s="1"/>
      <c r="J33" s="1"/>
      <c r="K33" s="1"/>
      <c r="L33" s="5" t="e">
        <f>AVERAGE(G33:K33)*0.4+T33</f>
        <v>#DIV/0!</v>
      </c>
      <c r="M33" s="1"/>
      <c r="N33" s="6">
        <f>M33*0.5</f>
        <v>0</v>
      </c>
      <c r="O33" s="6"/>
      <c r="P33" s="6"/>
      <c r="Q33" s="6"/>
      <c r="R33" s="6"/>
      <c r="S33" s="6"/>
      <c r="T33" s="6">
        <f>(SUM(O33:S33)/5)*0.5</f>
        <v>0</v>
      </c>
      <c r="U33" s="6" t="e">
        <f>N33+L33+F33</f>
        <v>#DIV/0!</v>
      </c>
      <c r="V33" s="6" t="e">
        <f>INT(U33*10)/10+IF(MOD(U33*10,1)&gt;=0.5,0.1,0)</f>
        <v>#DIV/0!</v>
      </c>
      <c r="W33" s="1" t="e">
        <f>IF(U33&lt;3,3-U33,"No aplica")</f>
        <v>#DIV/0!</v>
      </c>
    </row>
    <row r="34" spans="1:23">
      <c r="A34" s="27" t="s">
        <v>76</v>
      </c>
      <c r="B34" s="28"/>
      <c r="C34" s="27" t="s">
        <v>77</v>
      </c>
      <c r="D34" s="28"/>
      <c r="E34" s="5"/>
      <c r="F34" s="1">
        <f>E34*0.1</f>
        <v>0</v>
      </c>
      <c r="G34" s="1"/>
      <c r="H34" s="1"/>
      <c r="I34" s="1"/>
      <c r="J34" s="1"/>
      <c r="K34" s="1"/>
      <c r="L34" s="5" t="e">
        <f>AVERAGE(G34:K34)*0.4+T34</f>
        <v>#DIV/0!</v>
      </c>
      <c r="M34" s="1"/>
      <c r="N34" s="6">
        <f>M34*0.5</f>
        <v>0</v>
      </c>
      <c r="O34" s="6"/>
      <c r="P34" s="6"/>
      <c r="Q34" s="6"/>
      <c r="R34" s="6"/>
      <c r="S34" s="6"/>
      <c r="T34" s="6">
        <f>(SUM(O34:S34)/5)*0.5</f>
        <v>0</v>
      </c>
      <c r="U34" s="6" t="e">
        <f>N34+L34+F34</f>
        <v>#DIV/0!</v>
      </c>
      <c r="V34" s="6" t="e">
        <f>INT(U34*10)/10+IF(MOD(U34*10,1)&gt;=0.5,0.1,0)</f>
        <v>#DIV/0!</v>
      </c>
      <c r="W34" s="1" t="e">
        <f>IF(U34&lt;3,3-U34,"No aplica")</f>
        <v>#DIV/0!</v>
      </c>
    </row>
    <row r="35" spans="1:23">
      <c r="A35" s="27" t="s">
        <v>78</v>
      </c>
      <c r="B35" s="28"/>
      <c r="C35" s="27" t="s">
        <v>79</v>
      </c>
      <c r="D35" s="28"/>
      <c r="E35" s="5"/>
      <c r="F35" s="1">
        <f>E35*0.1</f>
        <v>0</v>
      </c>
      <c r="G35" s="1"/>
      <c r="H35" s="1"/>
      <c r="I35" s="1"/>
      <c r="J35" s="1"/>
      <c r="K35" s="1"/>
      <c r="L35" s="5" t="e">
        <f>AVERAGE(G35:K35)*0.4+T35</f>
        <v>#DIV/0!</v>
      </c>
      <c r="M35" s="1"/>
      <c r="N35" s="6">
        <f>M35*0.5</f>
        <v>0</v>
      </c>
      <c r="O35" s="6"/>
      <c r="P35" s="6"/>
      <c r="Q35" s="6"/>
      <c r="R35" s="6"/>
      <c r="S35" s="6"/>
      <c r="T35" s="6">
        <f>(SUM(O35:S35)/5)*0.5</f>
        <v>0</v>
      </c>
      <c r="U35" s="6" t="e">
        <f>N35+L35+F35</f>
        <v>#DIV/0!</v>
      </c>
      <c r="V35" s="6" t="e">
        <f>INT(U35*10)/10+IF(MOD(U35*10,1)&gt;=0.5,0.1,0)</f>
        <v>#DIV/0!</v>
      </c>
      <c r="W35" s="1" t="e">
        <f>IF(U35&lt;3,3-U35,"No aplica")</f>
        <v>#DIV/0!</v>
      </c>
    </row>
    <row r="36" spans="1:23">
      <c r="A36" s="27" t="s">
        <v>80</v>
      </c>
      <c r="B36" s="28"/>
      <c r="C36" s="27" t="s">
        <v>81</v>
      </c>
      <c r="D36" s="28"/>
      <c r="E36" s="5"/>
      <c r="F36" s="1">
        <f>E36*0.1</f>
        <v>0</v>
      </c>
      <c r="G36" s="1"/>
      <c r="H36" s="1"/>
      <c r="I36" s="1"/>
      <c r="J36" s="1"/>
      <c r="K36" s="1"/>
      <c r="L36" s="5" t="e">
        <f>AVERAGE(G36:K36)*0.4+T36</f>
        <v>#DIV/0!</v>
      </c>
      <c r="M36" s="1"/>
      <c r="N36" s="6">
        <f>M36*0.5</f>
        <v>0</v>
      </c>
      <c r="O36" s="6"/>
      <c r="P36" s="6"/>
      <c r="Q36" s="6"/>
      <c r="R36" s="6"/>
      <c r="S36" s="6"/>
      <c r="T36" s="6">
        <f>(SUM(O36:S36)/5)*0.5</f>
        <v>0</v>
      </c>
      <c r="U36" s="6" t="e">
        <f>N36+L36+F36</f>
        <v>#DIV/0!</v>
      </c>
      <c r="V36" s="6" t="e">
        <f>INT(U36*10)/10+IF(MOD(U36*10,1)&gt;=0.5,0.1,0)</f>
        <v>#DIV/0!</v>
      </c>
      <c r="W36" s="1" t="e">
        <f>IF(U36&lt;3,3-U36,"No aplica")</f>
        <v>#DIV/0!</v>
      </c>
    </row>
    <row r="37" spans="1:23">
      <c r="A37" s="27" t="s">
        <v>82</v>
      </c>
      <c r="B37" s="28"/>
      <c r="C37" s="27" t="s">
        <v>83</v>
      </c>
      <c r="D37" s="28"/>
      <c r="E37" s="5"/>
      <c r="F37" s="1">
        <f>E37*0.1</f>
        <v>0</v>
      </c>
      <c r="G37" s="1"/>
      <c r="H37" s="1"/>
      <c r="I37" s="1"/>
      <c r="J37" s="1"/>
      <c r="K37" s="1"/>
      <c r="L37" s="5" t="e">
        <f>AVERAGE(G37:K37)*0.4+T37</f>
        <v>#DIV/0!</v>
      </c>
      <c r="M37" s="1"/>
      <c r="N37" s="6">
        <f>M37*0.5</f>
        <v>0</v>
      </c>
      <c r="O37" s="6"/>
      <c r="P37" s="6"/>
      <c r="Q37" s="6"/>
      <c r="R37" s="6"/>
      <c r="S37" s="6"/>
      <c r="T37" s="6">
        <f>(SUM(O37:S37)/5)*0.5</f>
        <v>0</v>
      </c>
      <c r="U37" s="6" t="e">
        <f>N37+L37+F37</f>
        <v>#DIV/0!</v>
      </c>
      <c r="V37" s="6" t="e">
        <f>INT(U37*10)/10+IF(MOD(U37*10,1)&gt;=0.5,0.1,0)</f>
        <v>#DIV/0!</v>
      </c>
      <c r="W37" s="1" t="e">
        <f>IF(U37&lt;3,3-U37,"No aplica")</f>
        <v>#DIV/0!</v>
      </c>
    </row>
    <row r="38" spans="1:23">
      <c r="A38" s="27" t="s">
        <v>84</v>
      </c>
      <c r="B38" s="28"/>
      <c r="C38" s="27" t="s">
        <v>85</v>
      </c>
      <c r="D38" s="28"/>
      <c r="E38" s="5"/>
      <c r="F38" s="1">
        <f>E38*0.1</f>
        <v>0</v>
      </c>
      <c r="G38" s="1"/>
      <c r="H38" s="1"/>
      <c r="I38" s="1"/>
      <c r="J38" s="1"/>
      <c r="K38" s="1"/>
      <c r="L38" s="5" t="e">
        <f>AVERAGE(G38:K38)*0.4+T38</f>
        <v>#DIV/0!</v>
      </c>
      <c r="M38" s="1"/>
      <c r="N38" s="6">
        <f>M38*0.5</f>
        <v>0</v>
      </c>
      <c r="O38" s="6"/>
      <c r="P38" s="6"/>
      <c r="Q38" s="6"/>
      <c r="R38" s="6"/>
      <c r="S38" s="6"/>
      <c r="T38" s="6">
        <f>(SUM(O38:S38)/5)*0.5</f>
        <v>0</v>
      </c>
      <c r="U38" s="6" t="e">
        <f>N38+L38+F38</f>
        <v>#DIV/0!</v>
      </c>
      <c r="V38" s="6" t="e">
        <f>INT(U38*10)/10+IF(MOD(U38*10,1)&gt;=0.5,0.1,0)</f>
        <v>#DIV/0!</v>
      </c>
      <c r="W38" s="1" t="e">
        <f>IF(U38&lt;3,3-U38,"No aplica")</f>
        <v>#DIV/0!</v>
      </c>
    </row>
    <row r="39" spans="1:23">
      <c r="A39" s="27" t="s">
        <v>86</v>
      </c>
      <c r="B39" s="28"/>
      <c r="C39" s="27" t="s">
        <v>87</v>
      </c>
      <c r="D39" s="28"/>
      <c r="E39" s="5"/>
      <c r="F39" s="1">
        <f>E39*0.1</f>
        <v>0</v>
      </c>
      <c r="G39" s="1"/>
      <c r="H39" s="1"/>
      <c r="I39" s="1"/>
      <c r="J39" s="1"/>
      <c r="K39" s="1"/>
      <c r="L39" s="5" t="e">
        <f>AVERAGE(G39:K39)*0.4+T39</f>
        <v>#DIV/0!</v>
      </c>
      <c r="M39" s="1"/>
      <c r="N39" s="6">
        <f>M39*0.5</f>
        <v>0</v>
      </c>
      <c r="O39" s="6"/>
      <c r="P39" s="6"/>
      <c r="Q39" s="6"/>
      <c r="R39" s="6"/>
      <c r="S39" s="6"/>
      <c r="T39" s="6">
        <f>(SUM(O39:S39)/5)*0.5</f>
        <v>0</v>
      </c>
      <c r="U39" s="6" t="e">
        <f>N39+L39+F39</f>
        <v>#DIV/0!</v>
      </c>
      <c r="V39" s="6" t="e">
        <f>INT(U39*10)/10+IF(MOD(U39*10,1)&gt;=0.5,0.1,0)</f>
        <v>#DIV/0!</v>
      </c>
      <c r="W39" s="1" t="e">
        <f>IF(U39&lt;3,3-U39,"No aplica")</f>
        <v>#DIV/0!</v>
      </c>
    </row>
    <row r="40" spans="1:23">
      <c r="A40" s="27" t="s">
        <v>88</v>
      </c>
      <c r="B40" s="28"/>
      <c r="C40" s="27" t="s">
        <v>89</v>
      </c>
      <c r="D40" s="28"/>
      <c r="E40" s="13"/>
      <c r="F40" s="1">
        <f>E40*0.1</f>
        <v>0</v>
      </c>
      <c r="G40" s="1"/>
      <c r="H40" s="1"/>
      <c r="I40" s="1"/>
      <c r="J40" s="1"/>
      <c r="K40" s="1"/>
      <c r="L40" s="5" t="e">
        <f>AVERAGE(G40:K40)*0.4+T40</f>
        <v>#DIV/0!</v>
      </c>
      <c r="M40" s="1"/>
      <c r="N40" s="6">
        <f>M40*0.5</f>
        <v>0</v>
      </c>
      <c r="O40" s="6"/>
      <c r="P40" s="6"/>
      <c r="Q40" s="6"/>
      <c r="R40" s="6"/>
      <c r="S40" s="6"/>
      <c r="T40" s="6">
        <f>(SUM(O40:S40)/5)*0.5</f>
        <v>0</v>
      </c>
      <c r="U40" s="6" t="e">
        <f>N40+L40+F40</f>
        <v>#DIV/0!</v>
      </c>
      <c r="V40" s="6" t="e">
        <f>INT(U40*10)/10+IF(MOD(U40*10,1)&gt;=0.5,0.1,0)</f>
        <v>#DIV/0!</v>
      </c>
      <c r="W40" s="1" t="e">
        <f>IF(U40&lt;3,3-U40,"No aplica")</f>
        <v>#DIV/0!</v>
      </c>
    </row>
    <row r="41" spans="1:23">
      <c r="A41" s="32" t="s">
        <v>90</v>
      </c>
      <c r="B41" s="33"/>
      <c r="C41" s="32" t="s">
        <v>91</v>
      </c>
      <c r="D41" s="33"/>
      <c r="E41" s="5"/>
      <c r="F41" s="1">
        <f>E41*0.1</f>
        <v>0</v>
      </c>
      <c r="G41" s="1"/>
      <c r="H41" s="1"/>
      <c r="I41" s="1"/>
      <c r="J41" s="1"/>
      <c r="K41" s="1"/>
      <c r="L41" s="5" t="e">
        <f>AVERAGE(G41:K41)*0.4+T41</f>
        <v>#DIV/0!</v>
      </c>
      <c r="M41" s="1"/>
      <c r="N41" s="6">
        <f>M41*0.5</f>
        <v>0</v>
      </c>
      <c r="O41" s="6"/>
      <c r="P41" s="6"/>
      <c r="Q41" s="6"/>
      <c r="R41" s="6"/>
      <c r="S41" s="6"/>
      <c r="T41" s="6">
        <f>(SUM(O41:S41)/5)*0.5</f>
        <v>0</v>
      </c>
      <c r="U41" s="6" t="e">
        <f>N41+L41+F41</f>
        <v>#DIV/0!</v>
      </c>
      <c r="V41" s="6" t="e">
        <f>INT(U41*10)/10+IF(MOD(U41*10,1)&gt;=0.5,0.1,0)</f>
        <v>#DIV/0!</v>
      </c>
      <c r="W41" s="1" t="e">
        <f>IF(U41&lt;3,3-U41,"No aplica")</f>
        <v>#DIV/0!</v>
      </c>
    </row>
    <row r="42" spans="1:23">
      <c r="A42" s="27" t="s">
        <v>92</v>
      </c>
      <c r="B42" s="28"/>
      <c r="C42" s="27" t="s">
        <v>93</v>
      </c>
      <c r="D42" s="28"/>
      <c r="E42" s="5"/>
      <c r="F42" s="1">
        <f>E42*0.1</f>
        <v>0</v>
      </c>
      <c r="G42" s="1"/>
      <c r="H42" s="1"/>
      <c r="I42" s="1"/>
      <c r="J42" s="1"/>
      <c r="K42" s="1"/>
      <c r="L42" s="5" t="e">
        <f>AVERAGE(G42:K42)*0.4+T42</f>
        <v>#DIV/0!</v>
      </c>
      <c r="M42" s="1"/>
      <c r="N42" s="6">
        <f>M42*0.5</f>
        <v>0</v>
      </c>
      <c r="O42" s="6"/>
      <c r="P42" s="6"/>
      <c r="Q42" s="6"/>
      <c r="R42" s="6"/>
      <c r="S42" s="6"/>
      <c r="T42" s="6">
        <f>(SUM(O42:S42)/5)*0.5</f>
        <v>0</v>
      </c>
      <c r="U42" s="6" t="e">
        <f>N42+L42+F42</f>
        <v>#DIV/0!</v>
      </c>
      <c r="V42" s="6" t="e">
        <f>INT(U42*10)/10+IF(MOD(U42*10,1)&gt;=0.5,0.1,0)</f>
        <v>#DIV/0!</v>
      </c>
      <c r="W42" s="1" t="e">
        <f>IF(U42&lt;3,3-U42,"No aplica")</f>
        <v>#DIV/0!</v>
      </c>
    </row>
    <row r="43" spans="1:23">
      <c r="A43" s="27" t="s">
        <v>94</v>
      </c>
      <c r="B43" s="28"/>
      <c r="C43" s="27" t="s">
        <v>95</v>
      </c>
      <c r="D43" s="28"/>
      <c r="E43" s="5"/>
      <c r="F43" s="1">
        <f>E43*0.1</f>
        <v>0</v>
      </c>
      <c r="G43" s="1"/>
      <c r="H43" s="1"/>
      <c r="I43" s="1"/>
      <c r="J43" s="1"/>
      <c r="K43" s="1"/>
      <c r="L43" s="5" t="e">
        <f>AVERAGE(G43:K43)*0.4+T43</f>
        <v>#DIV/0!</v>
      </c>
      <c r="M43" s="1"/>
      <c r="N43" s="6">
        <f>M43*0.5</f>
        <v>0</v>
      </c>
      <c r="O43" s="6"/>
      <c r="P43" s="6"/>
      <c r="Q43" s="6"/>
      <c r="R43" s="6"/>
      <c r="S43" s="6"/>
      <c r="T43" s="6">
        <f>(SUM(O43:S43)/5)*0.5</f>
        <v>0</v>
      </c>
      <c r="U43" s="6" t="e">
        <f>N43+L43+F43</f>
        <v>#DIV/0!</v>
      </c>
      <c r="V43" s="6" t="e">
        <f>INT(U43*10)/10+IF(MOD(U43*10,1)&gt;=0.5,0.1,0)</f>
        <v>#DIV/0!</v>
      </c>
      <c r="W43" s="1" t="e">
        <f>IF(U43&lt;3,3-U43,"No aplica")</f>
        <v>#DIV/0!</v>
      </c>
    </row>
    <row r="44" spans="1:23">
      <c r="A44" s="27" t="s">
        <v>96</v>
      </c>
      <c r="B44" s="28"/>
      <c r="C44" s="27" t="s">
        <v>97</v>
      </c>
      <c r="D44" s="28"/>
      <c r="E44" s="5"/>
      <c r="F44" s="1">
        <f>E44*0.1</f>
        <v>0</v>
      </c>
      <c r="G44" s="1"/>
      <c r="H44" s="1"/>
      <c r="I44" s="1"/>
      <c r="J44" s="1"/>
      <c r="K44" s="1"/>
      <c r="L44" s="5" t="e">
        <f>AVERAGE(G44:K44)*0.4+T44</f>
        <v>#DIV/0!</v>
      </c>
      <c r="M44" s="1"/>
      <c r="N44" s="6">
        <f>M44*0.5</f>
        <v>0</v>
      </c>
      <c r="O44" s="6"/>
      <c r="P44" s="6"/>
      <c r="Q44" s="6"/>
      <c r="R44" s="6"/>
      <c r="S44" s="6"/>
      <c r="T44" s="6">
        <f>(SUM(O44:S44)/5)*0.5</f>
        <v>0</v>
      </c>
      <c r="U44" s="6" t="e">
        <f>N44+L44+F44</f>
        <v>#DIV/0!</v>
      </c>
      <c r="V44" s="6" t="e">
        <f>INT(U44*10)/10+IF(MOD(U44*10,1)&gt;=0.5,0.1,0)</f>
        <v>#DIV/0!</v>
      </c>
      <c r="W44" s="1" t="e">
        <f>IF(U44&lt;3,3-U44,"No aplica")</f>
        <v>#DIV/0!</v>
      </c>
    </row>
    <row r="45" spans="1:23">
      <c r="A45" s="27" t="s">
        <v>98</v>
      </c>
      <c r="B45" s="28"/>
      <c r="C45" s="27" t="s">
        <v>99</v>
      </c>
      <c r="D45" s="28"/>
      <c r="E45" s="5"/>
      <c r="F45" s="1">
        <f>E45*0.1</f>
        <v>0</v>
      </c>
      <c r="G45" s="1"/>
      <c r="H45" s="1"/>
      <c r="I45" s="1"/>
      <c r="J45" s="1"/>
      <c r="K45" s="1"/>
      <c r="L45" s="5" t="e">
        <f>AVERAGE(G45:K45)*0.4+T45</f>
        <v>#DIV/0!</v>
      </c>
      <c r="M45" s="1"/>
      <c r="N45" s="6">
        <f>M45*0.5</f>
        <v>0</v>
      </c>
      <c r="O45" s="6"/>
      <c r="P45" s="6"/>
      <c r="Q45" s="6"/>
      <c r="R45" s="6"/>
      <c r="S45" s="6"/>
      <c r="T45" s="6">
        <f>(SUM(O45:S45)/5)*0.5</f>
        <v>0</v>
      </c>
      <c r="U45" s="6" t="e">
        <f>N45+L45+F45</f>
        <v>#DIV/0!</v>
      </c>
      <c r="V45" s="6" t="e">
        <f>INT(U45*10)/10+IF(MOD(U45*10,1)&gt;=0.5,0.1,0)</f>
        <v>#DIV/0!</v>
      </c>
      <c r="W45" s="1" t="e">
        <f>IF(U45&lt;3,3-U45,"No aplica")</f>
        <v>#DIV/0!</v>
      </c>
    </row>
    <row r="46" spans="1:23">
      <c r="A46" s="27" t="s">
        <v>100</v>
      </c>
      <c r="B46" s="28"/>
      <c r="C46" s="27" t="s">
        <v>101</v>
      </c>
      <c r="D46" s="28"/>
      <c r="E46" s="5"/>
      <c r="F46" s="1">
        <f>E46*0.1</f>
        <v>0</v>
      </c>
      <c r="G46" s="1"/>
      <c r="H46" s="1"/>
      <c r="I46" s="1"/>
      <c r="J46" s="1"/>
      <c r="K46" s="1"/>
      <c r="L46" s="5" t="e">
        <f>AVERAGE(G46:K46)*0.4+T46</f>
        <v>#DIV/0!</v>
      </c>
      <c r="M46" s="1"/>
      <c r="N46" s="6">
        <f>M46*0.5</f>
        <v>0</v>
      </c>
      <c r="O46" s="6"/>
      <c r="P46" s="6"/>
      <c r="Q46" s="6"/>
      <c r="R46" s="6"/>
      <c r="S46" s="6"/>
      <c r="T46" s="6">
        <f>(SUM(O46:S46)/5)*0.5</f>
        <v>0</v>
      </c>
      <c r="U46" s="6" t="e">
        <f>N46+L46+F46</f>
        <v>#DIV/0!</v>
      </c>
      <c r="V46" s="6" t="e">
        <f>INT(U46*10)/10+IF(MOD(U46*10,1)&gt;=0.5,0.1,0)</f>
        <v>#DIV/0!</v>
      </c>
      <c r="W46" s="1" t="e">
        <f>IF(U46&lt;3,3-U46,"No aplica")</f>
        <v>#DIV/0!</v>
      </c>
    </row>
    <row r="47" spans="1:23">
      <c r="A47" s="27" t="s">
        <v>102</v>
      </c>
      <c r="B47" s="28"/>
      <c r="C47" s="27" t="s">
        <v>103</v>
      </c>
      <c r="D47" s="28"/>
      <c r="E47" s="5"/>
      <c r="F47" s="1">
        <f>E47*0.1</f>
        <v>0</v>
      </c>
      <c r="G47" s="1"/>
      <c r="H47" s="1"/>
      <c r="I47" s="1"/>
      <c r="J47" s="1"/>
      <c r="K47" s="1"/>
      <c r="L47" s="5" t="e">
        <f>AVERAGE(G47:K47)*0.4+T47</f>
        <v>#DIV/0!</v>
      </c>
      <c r="M47" s="1"/>
      <c r="N47" s="6">
        <f>M47*0.5</f>
        <v>0</v>
      </c>
      <c r="O47" s="6"/>
      <c r="P47" s="6"/>
      <c r="Q47" s="6"/>
      <c r="R47" s="6"/>
      <c r="S47" s="6"/>
      <c r="T47" s="6">
        <f>(SUM(O47:S47)/5)*0.5</f>
        <v>0</v>
      </c>
      <c r="U47" s="6" t="e">
        <f>N47+L47+F47</f>
        <v>#DIV/0!</v>
      </c>
      <c r="V47" s="6" t="e">
        <f>INT(U47*10)/10+IF(MOD(U47*10,1)&gt;=0.5,0.1,0)</f>
        <v>#DIV/0!</v>
      </c>
      <c r="W47" s="1" t="e">
        <f>IF(U47&lt;3,3-U47,"No aplica")</f>
        <v>#DIV/0!</v>
      </c>
    </row>
    <row r="48" spans="1:23">
      <c r="A48" s="32" t="s">
        <v>104</v>
      </c>
      <c r="B48" s="33"/>
      <c r="C48" s="32" t="s">
        <v>105</v>
      </c>
      <c r="D48" s="33"/>
      <c r="E48" s="5"/>
      <c r="F48" s="1">
        <f>E48*0.1</f>
        <v>0</v>
      </c>
      <c r="G48" s="1"/>
      <c r="H48" s="1"/>
      <c r="I48" s="1"/>
      <c r="J48" s="1"/>
      <c r="K48" s="1"/>
      <c r="L48" s="5" t="e">
        <f>AVERAGE(G48:K48)*0.4+T48</f>
        <v>#DIV/0!</v>
      </c>
      <c r="M48" s="1"/>
      <c r="N48" s="6">
        <f>M48*0.5</f>
        <v>0</v>
      </c>
      <c r="O48" s="6"/>
      <c r="P48" s="6"/>
      <c r="Q48" s="6"/>
      <c r="R48" s="6"/>
      <c r="S48" s="6"/>
      <c r="T48" s="6">
        <f>(SUM(O48:S48)/5)*0.5</f>
        <v>0</v>
      </c>
      <c r="U48" s="6" t="e">
        <f>N48+L48+F48</f>
        <v>#DIV/0!</v>
      </c>
      <c r="V48" s="6" t="e">
        <f>INT(U48*10)/10+IF(MOD(U48*10,1)&gt;=0.5,0.1,0)</f>
        <v>#DIV/0!</v>
      </c>
      <c r="W48" s="1" t="e">
        <f>IF(U48&lt;3,3-U48,"No aplica")</f>
        <v>#DIV/0!</v>
      </c>
    </row>
    <row r="49" spans="1:23">
      <c r="A49" s="32" t="s">
        <v>106</v>
      </c>
      <c r="B49" s="33"/>
      <c r="C49" s="32" t="s">
        <v>107</v>
      </c>
      <c r="D49" s="33"/>
      <c r="E49" s="5"/>
      <c r="F49" s="1">
        <f>E49*0.1</f>
        <v>0</v>
      </c>
      <c r="G49" s="1"/>
      <c r="H49" s="1"/>
      <c r="I49" s="1"/>
      <c r="J49" s="1"/>
      <c r="K49" s="1"/>
      <c r="L49" s="5" t="e">
        <f>AVERAGE(G49:K49)*0.4+T49</f>
        <v>#DIV/0!</v>
      </c>
      <c r="M49" s="1"/>
      <c r="N49" s="6">
        <f>M49*0.5</f>
        <v>0</v>
      </c>
      <c r="O49" s="6"/>
      <c r="P49" s="6"/>
      <c r="Q49" s="6"/>
      <c r="R49" s="6"/>
      <c r="S49" s="6"/>
      <c r="T49" s="6">
        <f>(SUM(O49:S49)/5)*0.5</f>
        <v>0</v>
      </c>
      <c r="U49" s="6" t="e">
        <f>N49+L49+F49</f>
        <v>#DIV/0!</v>
      </c>
      <c r="V49" s="6" t="e">
        <f>INT(U49*10)/10+IF(MOD(U49*10,1)&gt;=0.5,0.1,0)</f>
        <v>#DIV/0!</v>
      </c>
      <c r="W49" s="1" t="e">
        <f>IF(U49&lt;3,3-U49,"No aplica")</f>
        <v>#DIV/0!</v>
      </c>
    </row>
    <row r="50" spans="1:23">
      <c r="A50" s="32" t="s">
        <v>108</v>
      </c>
      <c r="B50" s="33"/>
      <c r="C50" s="32" t="s">
        <v>109</v>
      </c>
      <c r="D50" s="33"/>
      <c r="E50" s="5"/>
      <c r="F50" s="1">
        <f>E50*0.1</f>
        <v>0</v>
      </c>
      <c r="G50" s="1"/>
      <c r="H50" s="1"/>
      <c r="I50" s="1"/>
      <c r="J50" s="1"/>
      <c r="K50" s="1"/>
      <c r="L50" s="5" t="e">
        <f>AVERAGE(G50:K50)*0.4+T50</f>
        <v>#DIV/0!</v>
      </c>
      <c r="M50" s="1"/>
      <c r="N50" s="6">
        <f>M50*0.5</f>
        <v>0</v>
      </c>
      <c r="O50" s="6"/>
      <c r="P50" s="6"/>
      <c r="Q50" s="6"/>
      <c r="R50" s="6"/>
      <c r="S50" s="6"/>
      <c r="T50" s="6">
        <f>(SUM(O50:S50)/5)*0.5</f>
        <v>0</v>
      </c>
      <c r="U50" s="6" t="e">
        <f>N50+L50+F50</f>
        <v>#DIV/0!</v>
      </c>
      <c r="V50" s="6" t="e">
        <f>INT(U50*10)/10+IF(MOD(U50*10,1)&gt;=0.5,0.1,0)</f>
        <v>#DIV/0!</v>
      </c>
      <c r="W50" s="1" t="e">
        <f>IF(U50&lt;3,3-U50,"No aplica")</f>
        <v>#DIV/0!</v>
      </c>
    </row>
    <row r="51" spans="1:23">
      <c r="A51" s="32" t="s">
        <v>110</v>
      </c>
      <c r="B51" s="33"/>
      <c r="C51" s="32" t="s">
        <v>111</v>
      </c>
      <c r="D51" s="33"/>
      <c r="E51" s="5"/>
      <c r="F51" s="1">
        <f>E51*0.1</f>
        <v>0</v>
      </c>
      <c r="G51" s="1"/>
      <c r="H51" s="1"/>
      <c r="I51" s="1"/>
      <c r="J51" s="1"/>
      <c r="K51" s="1"/>
      <c r="L51" s="5" t="e">
        <f>AVERAGE(G51:K51)*0.4+T51</f>
        <v>#DIV/0!</v>
      </c>
      <c r="M51" s="1"/>
      <c r="N51" s="6">
        <f>M51*0.5</f>
        <v>0</v>
      </c>
      <c r="O51" s="6"/>
      <c r="P51" s="6"/>
      <c r="Q51" s="6"/>
      <c r="R51" s="6"/>
      <c r="S51" s="6"/>
      <c r="T51" s="6">
        <f>(SUM(O51:S51)/5)*0.5</f>
        <v>0</v>
      </c>
      <c r="U51" s="6" t="e">
        <f>N51+L51+F51</f>
        <v>#DIV/0!</v>
      </c>
      <c r="V51" s="6" t="e">
        <f>INT(U51*10)/10+IF(MOD(U51*10,1)&gt;=0.5,0.1,0)</f>
        <v>#DIV/0!</v>
      </c>
      <c r="W51" s="1" t="e">
        <f>IF(U51&lt;3,3-U51,"No aplica")</f>
        <v>#DIV/0!</v>
      </c>
    </row>
    <row r="52" spans="1:23">
      <c r="A52" s="32" t="s">
        <v>112</v>
      </c>
      <c r="B52" s="33"/>
      <c r="C52" s="32" t="s">
        <v>113</v>
      </c>
      <c r="D52" s="33"/>
      <c r="E52" s="5"/>
      <c r="F52" s="1">
        <f>E52*0.1</f>
        <v>0</v>
      </c>
      <c r="G52" s="1"/>
      <c r="H52" s="1"/>
      <c r="I52" s="1"/>
      <c r="J52" s="1"/>
      <c r="K52" s="1"/>
      <c r="L52" s="5" t="e">
        <f>AVERAGE(G52:K52)*0.4+T52</f>
        <v>#DIV/0!</v>
      </c>
      <c r="M52" s="1"/>
      <c r="N52" s="6">
        <f>M52*0.5</f>
        <v>0</v>
      </c>
      <c r="O52" s="6"/>
      <c r="P52" s="6"/>
      <c r="Q52" s="6"/>
      <c r="R52" s="6"/>
      <c r="S52" s="6"/>
      <c r="T52" s="6">
        <f>(SUM(O52:S52)/5)*0.5</f>
        <v>0</v>
      </c>
      <c r="U52" s="6" t="e">
        <f>N52+L52+F52</f>
        <v>#DIV/0!</v>
      </c>
      <c r="V52" s="6" t="e">
        <f>INT(U52*10)/10+IF(MOD(U52*10,1)&gt;=0.5,0.1,0)</f>
        <v>#DIV/0!</v>
      </c>
      <c r="W52" s="1" t="e">
        <f>IF(U52&lt;3,3-U52,"No aplica")</f>
        <v>#DIV/0!</v>
      </c>
    </row>
  </sheetData>
  <autoFilter ref="A7:W7" xr:uid="{00000000-0001-0000-0000-000000000000}">
    <filterColumn colId="0" showButton="0"/>
    <filterColumn colId="2" showButton="0"/>
    <sortState xmlns:xlrd2="http://schemas.microsoft.com/office/spreadsheetml/2017/richdata2" ref="A8:W52">
      <sortCondition ref="C7"/>
    </sortState>
  </autoFilter>
  <mergeCells count="103"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A42:B42"/>
    <mergeCell ref="C42:D42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C8:D8"/>
    <mergeCell ref="C9:D9"/>
    <mergeCell ref="C10:D10"/>
    <mergeCell ref="C11:D11"/>
    <mergeCell ref="A8:B8"/>
    <mergeCell ref="A9:B9"/>
    <mergeCell ref="A10:B10"/>
    <mergeCell ref="A11:B11"/>
    <mergeCell ref="O6:S6"/>
    <mergeCell ref="A7:B7"/>
    <mergeCell ref="C7:D7"/>
    <mergeCell ref="A1:B1"/>
    <mergeCell ref="A2:B2"/>
    <mergeCell ref="A4:B4"/>
    <mergeCell ref="C1:I1"/>
    <mergeCell ref="C2:I2"/>
    <mergeCell ref="C4:I4"/>
    <mergeCell ref="C3:I3"/>
    <mergeCell ref="A3:B3"/>
    <mergeCell ref="G6:K6"/>
    <mergeCell ref="A6:D6"/>
  </mergeCells>
  <conditionalFormatting sqref="E8:E52">
    <cfRule type="expression" dxfId="38" priority="7">
      <formula>E8&lt;3</formula>
    </cfRule>
    <cfRule type="expression" dxfId="37" priority="8">
      <formula>E8&gt;=3</formula>
    </cfRule>
  </conditionalFormatting>
  <conditionalFormatting sqref="G8:K31 G32:I32 K32 G33:K52">
    <cfRule type="expression" dxfId="36" priority="16">
      <formula>G8&lt;3</formula>
    </cfRule>
  </conditionalFormatting>
  <conditionalFormatting sqref="G8:K52">
    <cfRule type="expression" dxfId="35" priority="2">
      <formula>G8&gt;=3</formula>
    </cfRule>
  </conditionalFormatting>
  <conditionalFormatting sqref="J32">
    <cfRule type="expression" dxfId="34" priority="1">
      <formula>J32&lt;3</formula>
    </cfRule>
  </conditionalFormatting>
  <conditionalFormatting sqref="M8:M52">
    <cfRule type="expression" dxfId="33" priority="13">
      <formula>M8&gt;=3</formula>
    </cfRule>
    <cfRule type="expression" dxfId="32" priority="14">
      <formula>M8&lt;3</formula>
    </cfRule>
  </conditionalFormatting>
  <conditionalFormatting sqref="O8:S52">
    <cfRule type="cellIs" dxfId="31" priority="9" operator="greaterThan">
      <formula>0</formula>
    </cfRule>
    <cfRule type="containsBlanks" dxfId="30" priority="10">
      <formula>LEN(TRIM(O8))=0</formula>
    </cfRule>
  </conditionalFormatting>
  <conditionalFormatting sqref="U8:U52">
    <cfRule type="expression" dxfId="29" priority="11">
      <formula>U8&gt;=3</formula>
    </cfRule>
    <cfRule type="expression" dxfId="28" priority="12">
      <formula>U8&lt;3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B542-7F95-4DF8-B5F6-52B89AD06E91}">
  <dimension ref="A1:O52"/>
  <sheetViews>
    <sheetView workbookViewId="0">
      <pane xSplit="4" topLeftCell="M32" activePane="topRight" state="frozen"/>
      <selection pane="topRight" activeCell="T35" sqref="T35"/>
    </sheetView>
  </sheetViews>
  <sheetFormatPr defaultColWidth="9.140625" defaultRowHeight="15"/>
  <cols>
    <col min="4" max="4" width="29.140625" customWidth="1"/>
    <col min="8" max="8" width="12.28515625" customWidth="1"/>
    <col min="9" max="9" width="14.5703125" customWidth="1"/>
    <col min="12" max="12" width="16.28515625" bestFit="1" customWidth="1"/>
    <col min="13" max="14" width="11" bestFit="1" customWidth="1"/>
    <col min="15" max="15" width="20.5703125" bestFit="1" customWidth="1"/>
  </cols>
  <sheetData>
    <row r="1" spans="1:15">
      <c r="A1" s="20" t="s">
        <v>0</v>
      </c>
      <c r="B1" s="20"/>
      <c r="C1" s="21" t="s">
        <v>1</v>
      </c>
      <c r="D1" s="21"/>
      <c r="E1" s="21"/>
      <c r="F1" s="21"/>
      <c r="G1" s="21"/>
      <c r="H1" s="21"/>
      <c r="I1" s="21"/>
    </row>
    <row r="2" spans="1:15">
      <c r="A2" s="20" t="s">
        <v>2</v>
      </c>
      <c r="B2" s="20"/>
      <c r="C2" s="21" t="s">
        <v>3</v>
      </c>
      <c r="D2" s="21"/>
      <c r="E2" s="21"/>
      <c r="F2" s="21"/>
      <c r="G2" s="21"/>
      <c r="H2" s="21"/>
      <c r="I2" s="21"/>
    </row>
    <row r="3" spans="1:15">
      <c r="A3" s="22" t="s">
        <v>4</v>
      </c>
      <c r="B3" s="23"/>
      <c r="C3" s="24" t="s">
        <v>5</v>
      </c>
      <c r="D3" s="25"/>
      <c r="E3" s="25"/>
      <c r="F3" s="25"/>
      <c r="G3" s="25"/>
      <c r="H3" s="25"/>
      <c r="I3" s="26"/>
      <c r="L3" s="12"/>
    </row>
    <row r="4" spans="1:15">
      <c r="A4" s="20" t="s">
        <v>6</v>
      </c>
      <c r="B4" s="20"/>
      <c r="C4" s="21" t="s">
        <v>7</v>
      </c>
      <c r="D4" s="21"/>
      <c r="E4" s="21"/>
      <c r="F4" s="21"/>
      <c r="G4" s="21"/>
      <c r="H4" s="21"/>
      <c r="I4" s="21"/>
    </row>
    <row r="6" spans="1:15">
      <c r="A6" s="29" t="s">
        <v>8</v>
      </c>
      <c r="B6" s="29"/>
      <c r="C6" s="29"/>
      <c r="D6" s="29"/>
      <c r="E6" s="2" t="s">
        <v>9</v>
      </c>
      <c r="F6" s="4">
        <v>0.1</v>
      </c>
      <c r="G6" s="29" t="s">
        <v>10</v>
      </c>
      <c r="H6" s="29"/>
      <c r="I6" s="29"/>
      <c r="J6" s="3">
        <v>0.4</v>
      </c>
      <c r="K6" s="2" t="s">
        <v>11</v>
      </c>
      <c r="L6" s="4">
        <v>0.5</v>
      </c>
      <c r="M6" s="7" t="s">
        <v>14</v>
      </c>
      <c r="N6" s="7" t="s">
        <v>15</v>
      </c>
      <c r="O6" s="2" t="s">
        <v>16</v>
      </c>
    </row>
    <row r="7" spans="1:15">
      <c r="A7" s="30" t="s">
        <v>17</v>
      </c>
      <c r="B7" s="31"/>
      <c r="C7" s="30" t="s">
        <v>18</v>
      </c>
      <c r="D7" s="30"/>
      <c r="E7" s="8" t="s">
        <v>19</v>
      </c>
      <c r="F7" s="8"/>
      <c r="G7" s="14" t="s">
        <v>114</v>
      </c>
      <c r="H7" s="14" t="s">
        <v>115</v>
      </c>
      <c r="I7" s="14" t="s">
        <v>116</v>
      </c>
      <c r="J7" s="9"/>
      <c r="K7" s="8"/>
      <c r="L7" s="10"/>
      <c r="M7" s="10"/>
      <c r="N7" s="10"/>
      <c r="O7" s="8"/>
    </row>
    <row r="8" spans="1:15">
      <c r="A8" s="27" t="s">
        <v>24</v>
      </c>
      <c r="B8" s="28"/>
      <c r="C8" s="27" t="s">
        <v>25</v>
      </c>
      <c r="D8" s="28"/>
      <c r="E8" s="13">
        <v>4.8</v>
      </c>
      <c r="F8" s="1">
        <f>E8*0.1</f>
        <v>0.48</v>
      </c>
      <c r="G8" s="1">
        <v>5</v>
      </c>
      <c r="H8" s="1">
        <v>4</v>
      </c>
      <c r="I8" s="1">
        <v>5</v>
      </c>
      <c r="J8" s="5">
        <f>AVERAGE(G8:I8)*0.4</f>
        <v>1.8666666666666669</v>
      </c>
      <c r="K8" s="1">
        <v>4.8</v>
      </c>
      <c r="L8" s="6">
        <f>K8*0.5</f>
        <v>2.4</v>
      </c>
      <c r="M8" s="6">
        <f>L8+J8+F8</f>
        <v>4.7466666666666661</v>
      </c>
      <c r="N8" s="6">
        <f>INT(M8*10)/10+IF(MOD(M8*10,1)&gt;=0.5,0.1,0)</f>
        <v>4.7</v>
      </c>
      <c r="O8" s="1" t="str">
        <f>IF(M8&lt;3,3-M8,"No aplica")</f>
        <v>No aplica</v>
      </c>
    </row>
    <row r="9" spans="1:15">
      <c r="A9" s="27" t="s">
        <v>26</v>
      </c>
      <c r="B9" s="28"/>
      <c r="C9" s="27" t="s">
        <v>27</v>
      </c>
      <c r="D9" s="28"/>
      <c r="E9" s="5">
        <v>4.0999999999999996</v>
      </c>
      <c r="F9" s="1">
        <f>E9*0.1</f>
        <v>0.41</v>
      </c>
      <c r="G9" s="1">
        <v>5</v>
      </c>
      <c r="H9" s="1">
        <v>5</v>
      </c>
      <c r="I9" s="1">
        <v>5</v>
      </c>
      <c r="J9" s="5">
        <f>AVERAGE(G9:I9)*0.4</f>
        <v>2</v>
      </c>
      <c r="K9" s="1">
        <v>4.45</v>
      </c>
      <c r="L9" s="6">
        <f>K9*0.5</f>
        <v>2.2250000000000001</v>
      </c>
      <c r="M9" s="6">
        <f>L9+J9+F9</f>
        <v>4.6349999999999998</v>
      </c>
      <c r="N9" s="6">
        <f>INT(M9*10)/10+IF(MOD(M9*10,1)&gt;=0.5,0.1,0)</f>
        <v>4.5999999999999996</v>
      </c>
      <c r="O9" s="1" t="str">
        <f>IF(M9&lt;3,3-M9,"No aplica")</f>
        <v>No aplica</v>
      </c>
    </row>
    <row r="10" spans="1:15">
      <c r="A10" s="27" t="s">
        <v>28</v>
      </c>
      <c r="B10" s="28"/>
      <c r="C10" s="27" t="s">
        <v>29</v>
      </c>
      <c r="D10" s="28"/>
      <c r="E10" s="5">
        <v>2.5</v>
      </c>
      <c r="F10" s="1">
        <f>E10*0.1</f>
        <v>0.25</v>
      </c>
      <c r="G10" s="1">
        <v>5</v>
      </c>
      <c r="H10" s="1">
        <v>4.5</v>
      </c>
      <c r="I10" s="1">
        <v>5</v>
      </c>
      <c r="J10" s="5">
        <f>AVERAGE(G10:I10)*0.4</f>
        <v>1.9333333333333333</v>
      </c>
      <c r="K10" s="1">
        <v>3</v>
      </c>
      <c r="L10" s="6">
        <f>K10*0.5</f>
        <v>1.5</v>
      </c>
      <c r="M10" s="6">
        <f>L10+J10+F10</f>
        <v>3.6833333333333336</v>
      </c>
      <c r="N10" s="6">
        <f>INT(M10*10)/10+IF(MOD(M10*10,1)&gt;=0.5,0.1,0)</f>
        <v>3.7</v>
      </c>
      <c r="O10" s="1" t="str">
        <f>IF(M10&lt;3,3-M10,"No aplica")</f>
        <v>No aplica</v>
      </c>
    </row>
    <row r="11" spans="1:15">
      <c r="A11" s="27" t="s">
        <v>30</v>
      </c>
      <c r="B11" s="28"/>
      <c r="C11" s="27" t="s">
        <v>31</v>
      </c>
      <c r="D11" s="28"/>
      <c r="E11" s="5">
        <v>4.8</v>
      </c>
      <c r="F11" s="1">
        <f>E11*0.1</f>
        <v>0.48</v>
      </c>
      <c r="G11" s="1">
        <v>5</v>
      </c>
      <c r="H11" s="1">
        <v>4</v>
      </c>
      <c r="I11" s="1">
        <v>5</v>
      </c>
      <c r="J11" s="5">
        <f>AVERAGE(G11:I11)*0.4</f>
        <v>1.8666666666666669</v>
      </c>
      <c r="K11" s="1">
        <v>4.8</v>
      </c>
      <c r="L11" s="6">
        <f>K11*0.5</f>
        <v>2.4</v>
      </c>
      <c r="M11" s="6">
        <f>L11+J11+F11</f>
        <v>4.7466666666666661</v>
      </c>
      <c r="N11" s="6">
        <f>INT(M11*10)/10+IF(MOD(M11*10,1)&gt;=0.5,0.1,0)</f>
        <v>4.7</v>
      </c>
      <c r="O11" s="1" t="str">
        <f>IF(M11&lt;3,3-M11,"No aplica")</f>
        <v>No aplica</v>
      </c>
    </row>
    <row r="12" spans="1:15">
      <c r="A12" s="27" t="s">
        <v>32</v>
      </c>
      <c r="B12" s="28"/>
      <c r="C12" s="27" t="s">
        <v>33</v>
      </c>
      <c r="D12" s="28"/>
      <c r="E12" s="5">
        <v>5</v>
      </c>
      <c r="F12" s="1">
        <f>E12*0.1</f>
        <v>0.5</v>
      </c>
      <c r="G12" s="1">
        <v>5</v>
      </c>
      <c r="H12" s="1">
        <v>4.5</v>
      </c>
      <c r="I12" s="1">
        <v>5</v>
      </c>
      <c r="J12" s="5">
        <f>AVERAGE(G12:I12)*0.4</f>
        <v>1.9333333333333333</v>
      </c>
      <c r="K12" s="1">
        <v>4.8</v>
      </c>
      <c r="L12" s="6">
        <f>K12*0.5</f>
        <v>2.4</v>
      </c>
      <c r="M12" s="6">
        <f>L12+J12+F12</f>
        <v>4.833333333333333</v>
      </c>
      <c r="N12" s="6">
        <f>INT(M12*10)/10+IF(MOD(M12*10,1)&gt;=0.5,0.1,0)</f>
        <v>4.8</v>
      </c>
      <c r="O12" s="1" t="str">
        <f>IF(M12&lt;3,3-M12,"No aplica")</f>
        <v>No aplica</v>
      </c>
    </row>
    <row r="13" spans="1:15">
      <c r="A13" s="27" t="s">
        <v>34</v>
      </c>
      <c r="B13" s="28"/>
      <c r="C13" s="27" t="s">
        <v>35</v>
      </c>
      <c r="D13" s="28"/>
      <c r="E13" s="5">
        <v>4.7</v>
      </c>
      <c r="F13" s="1">
        <f>E13*0.1</f>
        <v>0.47000000000000003</v>
      </c>
      <c r="G13" s="1">
        <v>5</v>
      </c>
      <c r="H13" s="1">
        <v>3.8</v>
      </c>
      <c r="I13" s="1">
        <v>5</v>
      </c>
      <c r="J13" s="5">
        <f>AVERAGE(G13:I13)*0.4</f>
        <v>1.8400000000000003</v>
      </c>
      <c r="K13" s="1">
        <v>4.5999999999999996</v>
      </c>
      <c r="L13" s="6">
        <f>K13*0.5</f>
        <v>2.2999999999999998</v>
      </c>
      <c r="M13" s="6">
        <f>L13+J13+F13</f>
        <v>4.6100000000000003</v>
      </c>
      <c r="N13" s="6">
        <f>INT(M13*10)/10+IF(MOD(M13*10,1)&gt;=0.5,0.1,0)</f>
        <v>4.5999999999999996</v>
      </c>
      <c r="O13" s="1" t="str">
        <f>IF(M13&lt;3,3-M13,"No aplica")</f>
        <v>No aplica</v>
      </c>
    </row>
    <row r="14" spans="1:15">
      <c r="A14" s="32" t="s">
        <v>36</v>
      </c>
      <c r="B14" s="33"/>
      <c r="C14" s="32" t="s">
        <v>37</v>
      </c>
      <c r="D14" s="33"/>
      <c r="E14" s="5">
        <v>4.8</v>
      </c>
      <c r="F14" s="1">
        <f>E14*0.1</f>
        <v>0.48</v>
      </c>
      <c r="G14" s="1">
        <v>5</v>
      </c>
      <c r="H14" s="1">
        <v>5</v>
      </c>
      <c r="I14" s="1">
        <v>4.5</v>
      </c>
      <c r="J14" s="5">
        <f>AVERAGE(G14:I14)*0.4</f>
        <v>1.9333333333333333</v>
      </c>
      <c r="K14" s="1">
        <v>3.3</v>
      </c>
      <c r="L14" s="6">
        <f>K14*0.5</f>
        <v>1.65</v>
      </c>
      <c r="M14" s="6">
        <f>L14+J14+F14</f>
        <v>4.0633333333333326</v>
      </c>
      <c r="N14" s="6">
        <f>INT(M14*10)/10+IF(MOD(M14*10,1)&gt;=0.5,0.1,0)</f>
        <v>4.0999999999999996</v>
      </c>
      <c r="O14" s="1" t="str">
        <f>IF(M14&lt;3,3-M14,"No aplica")</f>
        <v>No aplica</v>
      </c>
    </row>
    <row r="15" spans="1:15">
      <c r="A15" s="32" t="s">
        <v>38</v>
      </c>
      <c r="B15" s="33"/>
      <c r="C15" s="32" t="s">
        <v>39</v>
      </c>
      <c r="D15" s="33"/>
      <c r="E15" s="5">
        <v>4.5999999999999996</v>
      </c>
      <c r="F15" s="1">
        <f>E15*0.1</f>
        <v>0.45999999999999996</v>
      </c>
      <c r="G15" s="1">
        <v>5</v>
      </c>
      <c r="H15" s="1">
        <v>5</v>
      </c>
      <c r="I15" s="1">
        <v>5</v>
      </c>
      <c r="J15" s="5">
        <f>AVERAGE(G15:I15)*0.4</f>
        <v>2</v>
      </c>
      <c r="K15" s="1">
        <v>4.8499999999999996</v>
      </c>
      <c r="L15" s="6">
        <f>K15*0.5</f>
        <v>2.4249999999999998</v>
      </c>
      <c r="M15" s="6">
        <f>L15+J15+F15</f>
        <v>4.8849999999999998</v>
      </c>
      <c r="N15" s="6">
        <f>INT(M15*10)/10+IF(MOD(M15*10,1)&gt;=0.5,0.1,0)</f>
        <v>4.8999999999999995</v>
      </c>
      <c r="O15" s="1" t="str">
        <f>IF(M15&lt;3,3-M15,"No aplica")</f>
        <v>No aplica</v>
      </c>
    </row>
    <row r="16" spans="1:15">
      <c r="A16" s="32" t="s">
        <v>40</v>
      </c>
      <c r="B16" s="33"/>
      <c r="C16" s="32" t="s">
        <v>41</v>
      </c>
      <c r="D16" s="33"/>
      <c r="E16" s="5">
        <v>4.8</v>
      </c>
      <c r="F16" s="1">
        <f>E16*0.1</f>
        <v>0.48</v>
      </c>
      <c r="G16" s="1">
        <v>5</v>
      </c>
      <c r="H16" s="1">
        <v>4.5</v>
      </c>
      <c r="I16" s="1">
        <v>5</v>
      </c>
      <c r="J16" s="5">
        <f>AVERAGE(G16:I16)*0.4</f>
        <v>1.9333333333333333</v>
      </c>
      <c r="K16" s="1">
        <v>4.75</v>
      </c>
      <c r="L16" s="6">
        <f>K16*0.5</f>
        <v>2.375</v>
      </c>
      <c r="M16" s="6">
        <f>L16+J16+F16</f>
        <v>4.788333333333334</v>
      </c>
      <c r="N16" s="6">
        <f>INT(M16*10)/10+IF(MOD(M16*10,1)&gt;=0.5,0.1,0)</f>
        <v>4.8</v>
      </c>
      <c r="O16" s="1" t="str">
        <f>IF(M16&lt;3,3-M16,"No aplica")</f>
        <v>No aplica</v>
      </c>
    </row>
    <row r="17" spans="1:15">
      <c r="A17" s="27" t="s">
        <v>42</v>
      </c>
      <c r="B17" s="28"/>
      <c r="C17" s="27" t="s">
        <v>43</v>
      </c>
      <c r="D17" s="28"/>
      <c r="E17" s="5">
        <v>4.5999999999999996</v>
      </c>
      <c r="F17" s="1">
        <f>E17*0.1</f>
        <v>0.45999999999999996</v>
      </c>
      <c r="G17" s="1">
        <v>5</v>
      </c>
      <c r="H17" s="1">
        <v>4.5999999999999996</v>
      </c>
      <c r="I17" s="1">
        <v>5</v>
      </c>
      <c r="J17" s="5">
        <f>AVERAGE(G17:I17)*0.4</f>
        <v>1.9466666666666665</v>
      </c>
      <c r="K17" s="1">
        <v>3.7</v>
      </c>
      <c r="L17" s="6">
        <f>K17*0.5</f>
        <v>1.85</v>
      </c>
      <c r="M17" s="6">
        <f>L17+J17+F17</f>
        <v>4.2566666666666668</v>
      </c>
      <c r="N17" s="6">
        <f>INT(M17*10)/10+IF(MOD(M17*10,1)&gt;=0.5,0.1,0)</f>
        <v>4.3</v>
      </c>
      <c r="O17" s="1" t="str">
        <f>IF(M17&lt;3,3-M17,"No aplica")</f>
        <v>No aplica</v>
      </c>
    </row>
    <row r="18" spans="1:15">
      <c r="A18" s="27" t="s">
        <v>44</v>
      </c>
      <c r="B18" s="28"/>
      <c r="C18" s="27" t="s">
        <v>45</v>
      </c>
      <c r="D18" s="28"/>
      <c r="E18" s="5">
        <v>4.5999999999999996</v>
      </c>
      <c r="F18" s="1">
        <f>E18*0.1</f>
        <v>0.45999999999999996</v>
      </c>
      <c r="G18" s="1">
        <v>5</v>
      </c>
      <c r="H18" s="1">
        <v>5</v>
      </c>
      <c r="I18" s="1">
        <v>5</v>
      </c>
      <c r="J18" s="5">
        <f>AVERAGE(G18:I18)*0.4</f>
        <v>2</v>
      </c>
      <c r="K18" s="1">
        <v>4.8499999999999996</v>
      </c>
      <c r="L18" s="6">
        <f>K18*0.5</f>
        <v>2.4249999999999998</v>
      </c>
      <c r="M18" s="6">
        <f>L18+J18+F18</f>
        <v>4.8849999999999998</v>
      </c>
      <c r="N18" s="6">
        <f>INT(M18*10)/10+IF(MOD(M18*10,1)&gt;=0.5,0.1,0)</f>
        <v>4.8999999999999995</v>
      </c>
      <c r="O18" s="1" t="str">
        <f>IF(M18&lt;3,3-M18,"No aplica")</f>
        <v>No aplica</v>
      </c>
    </row>
    <row r="19" spans="1:15">
      <c r="A19" s="27" t="s">
        <v>46</v>
      </c>
      <c r="B19" s="28"/>
      <c r="C19" s="27" t="s">
        <v>47</v>
      </c>
      <c r="D19" s="28"/>
      <c r="E19" s="5">
        <v>4</v>
      </c>
      <c r="F19" s="1">
        <f>E19*0.1</f>
        <v>0.4</v>
      </c>
      <c r="G19" s="1">
        <v>5</v>
      </c>
      <c r="H19" s="1">
        <v>5</v>
      </c>
      <c r="I19" s="1">
        <v>5</v>
      </c>
      <c r="J19" s="5">
        <f>AVERAGE(G19:I19)*0.4</f>
        <v>2</v>
      </c>
      <c r="K19" s="1">
        <v>3.45</v>
      </c>
      <c r="L19" s="6">
        <f>K19*0.5</f>
        <v>1.7250000000000001</v>
      </c>
      <c r="M19" s="6">
        <f>L19+J19+F19</f>
        <v>4.125</v>
      </c>
      <c r="N19" s="6">
        <f>INT(M19*10)/10+IF(MOD(M19*10,1)&gt;=0.5,0.1,0)</f>
        <v>4.0999999999999996</v>
      </c>
      <c r="O19" s="1" t="str">
        <f>IF(M19&lt;3,3-M19,"No aplica")</f>
        <v>No aplica</v>
      </c>
    </row>
    <row r="20" spans="1:15">
      <c r="A20" s="27" t="s">
        <v>48</v>
      </c>
      <c r="B20" s="28"/>
      <c r="C20" s="27" t="s">
        <v>49</v>
      </c>
      <c r="D20" s="28"/>
      <c r="E20" s="5">
        <v>4.8</v>
      </c>
      <c r="F20" s="1">
        <f>E20*0.1</f>
        <v>0.48</v>
      </c>
      <c r="G20" s="1">
        <v>5</v>
      </c>
      <c r="H20" s="1">
        <v>5</v>
      </c>
      <c r="I20" s="1">
        <v>4.5</v>
      </c>
      <c r="J20" s="5">
        <f>AVERAGE(G20:I20)*0.4</f>
        <v>1.9333333333333333</v>
      </c>
      <c r="K20" s="1">
        <v>3.3</v>
      </c>
      <c r="L20" s="6">
        <f>K20*0.5</f>
        <v>1.65</v>
      </c>
      <c r="M20" s="6">
        <f>L20+J20+F20</f>
        <v>4.0633333333333326</v>
      </c>
      <c r="N20" s="6">
        <f>INT(M20*10)/10+IF(MOD(M20*10,1)&gt;=0.5,0.1,0)</f>
        <v>4.0999999999999996</v>
      </c>
      <c r="O20" s="1" t="str">
        <f>IF(M20&lt;3,3-M20,"No aplica")</f>
        <v>No aplica</v>
      </c>
    </row>
    <row r="21" spans="1:15">
      <c r="A21" s="27" t="s">
        <v>50</v>
      </c>
      <c r="B21" s="28"/>
      <c r="C21" s="27" t="s">
        <v>51</v>
      </c>
      <c r="D21" s="28"/>
      <c r="E21" s="5">
        <v>3.6</v>
      </c>
      <c r="F21" s="1">
        <f>E21*0.1</f>
        <v>0.36000000000000004</v>
      </c>
      <c r="G21" s="1">
        <v>5</v>
      </c>
      <c r="H21" s="1">
        <v>4</v>
      </c>
      <c r="I21" s="1">
        <v>5</v>
      </c>
      <c r="J21" s="5">
        <f>AVERAGE(G21:I21)*0.4</f>
        <v>1.8666666666666669</v>
      </c>
      <c r="K21" s="1">
        <v>4.7</v>
      </c>
      <c r="L21" s="6">
        <f>K21*0.5</f>
        <v>2.35</v>
      </c>
      <c r="M21" s="6">
        <f>L21+J21+F21</f>
        <v>4.5766666666666671</v>
      </c>
      <c r="N21" s="6">
        <f>INT(M21*10)/10+IF(MOD(M21*10,1)&gt;=0.5,0.1,0)</f>
        <v>4.5999999999999996</v>
      </c>
      <c r="O21" s="1" t="str">
        <f>IF(M21&lt;3,3-M21,"No aplica")</f>
        <v>No aplica</v>
      </c>
    </row>
    <row r="22" spans="1:15">
      <c r="A22" s="27" t="s">
        <v>52</v>
      </c>
      <c r="B22" s="28"/>
      <c r="C22" s="27" t="s">
        <v>53</v>
      </c>
      <c r="D22" s="28"/>
      <c r="E22" s="5">
        <v>4</v>
      </c>
      <c r="F22" s="1">
        <f>E22*0.1</f>
        <v>0.4</v>
      </c>
      <c r="G22" s="1">
        <v>5</v>
      </c>
      <c r="H22" s="1">
        <v>5</v>
      </c>
      <c r="I22" s="1">
        <v>5</v>
      </c>
      <c r="J22" s="5">
        <f>AVERAGE(G22:I22)*0.4</f>
        <v>2</v>
      </c>
      <c r="K22" s="1">
        <v>3.45</v>
      </c>
      <c r="L22" s="6">
        <f>K22*0.5</f>
        <v>1.7250000000000001</v>
      </c>
      <c r="M22" s="6">
        <f>L22+J22+F22</f>
        <v>4.125</v>
      </c>
      <c r="N22" s="6">
        <f>INT(M22*10)/10+IF(MOD(M22*10,1)&gt;=0.5,0.1,0)</f>
        <v>4.0999999999999996</v>
      </c>
      <c r="O22" s="1" t="str">
        <f>IF(M22&lt;3,3-M22,"No aplica")</f>
        <v>No aplica</v>
      </c>
    </row>
    <row r="23" spans="1:15">
      <c r="A23" s="27" t="s">
        <v>54</v>
      </c>
      <c r="B23" s="28"/>
      <c r="C23" s="27" t="s">
        <v>55</v>
      </c>
      <c r="D23" s="28"/>
      <c r="E23" s="5">
        <v>4.4000000000000004</v>
      </c>
      <c r="F23" s="1">
        <f>E23*0.1</f>
        <v>0.44000000000000006</v>
      </c>
      <c r="G23" s="1">
        <v>5</v>
      </c>
      <c r="H23" s="1">
        <v>4.9000000000000004</v>
      </c>
      <c r="I23" s="1">
        <v>5</v>
      </c>
      <c r="J23" s="5">
        <f>AVERAGE(G23:I23)*0.4</f>
        <v>1.9866666666666668</v>
      </c>
      <c r="K23" s="1">
        <v>4.7</v>
      </c>
      <c r="L23" s="6">
        <f>K23*0.5</f>
        <v>2.35</v>
      </c>
      <c r="M23" s="6">
        <f>L23+J23+F23</f>
        <v>4.7766666666666673</v>
      </c>
      <c r="N23" s="6">
        <f>INT(M23*10)/10+IF(MOD(M23*10,1)&gt;=0.5,0.1,0)</f>
        <v>4.8</v>
      </c>
      <c r="O23" s="1" t="str">
        <f>IF(M23&lt;3,3-M23,"No aplica")</f>
        <v>No aplica</v>
      </c>
    </row>
    <row r="24" spans="1:15">
      <c r="A24" s="27" t="s">
        <v>56</v>
      </c>
      <c r="B24" s="28"/>
      <c r="C24" s="27" t="s">
        <v>57</v>
      </c>
      <c r="D24" s="28"/>
      <c r="E24" s="5">
        <v>5</v>
      </c>
      <c r="F24" s="1">
        <f>E24*0.1</f>
        <v>0.5</v>
      </c>
      <c r="G24" s="1">
        <v>5</v>
      </c>
      <c r="H24" s="1">
        <v>4.8</v>
      </c>
      <c r="I24" s="1">
        <v>5</v>
      </c>
      <c r="J24" s="5">
        <f>AVERAGE(G24:I24)*0.4</f>
        <v>1.9733333333333336</v>
      </c>
      <c r="K24" s="1">
        <v>4.8</v>
      </c>
      <c r="L24" s="6">
        <f>K24*0.5</f>
        <v>2.4</v>
      </c>
      <c r="M24" s="6">
        <f>L24+J24+F24</f>
        <v>4.8733333333333331</v>
      </c>
      <c r="N24" s="6">
        <f>INT(M24*10)/10+IF(MOD(M24*10,1)&gt;=0.5,0.1,0)</f>
        <v>4.8999999999999995</v>
      </c>
      <c r="O24" s="1" t="str">
        <f>IF(M24&lt;3,3-M24,"No aplica")</f>
        <v>No aplica</v>
      </c>
    </row>
    <row r="25" spans="1:15">
      <c r="A25" s="27" t="s">
        <v>58</v>
      </c>
      <c r="B25" s="28"/>
      <c r="C25" s="27" t="s">
        <v>59</v>
      </c>
      <c r="D25" s="28"/>
      <c r="E25" s="5">
        <v>4.7</v>
      </c>
      <c r="F25" s="1">
        <f>E25*0.1</f>
        <v>0.47000000000000003</v>
      </c>
      <c r="G25" s="1">
        <v>5</v>
      </c>
      <c r="H25" s="1">
        <v>3.8</v>
      </c>
      <c r="I25" s="1">
        <v>5</v>
      </c>
      <c r="J25" s="5">
        <f>AVERAGE(G25:I25)*0.4</f>
        <v>1.8400000000000003</v>
      </c>
      <c r="K25" s="1">
        <v>4.5999999999999996</v>
      </c>
      <c r="L25" s="6">
        <f>K25*0.5</f>
        <v>2.2999999999999998</v>
      </c>
      <c r="M25" s="6">
        <f>L25+J25+F25</f>
        <v>4.6100000000000003</v>
      </c>
      <c r="N25" s="6">
        <f>INT(M25*10)/10+IF(MOD(M25*10,1)&gt;=0.5,0.1,0)</f>
        <v>4.5999999999999996</v>
      </c>
      <c r="O25" s="1" t="str">
        <f>IF(M25&lt;3,3-M25,"No aplica")</f>
        <v>No aplica</v>
      </c>
    </row>
    <row r="26" spans="1:15">
      <c r="A26" s="27" t="s">
        <v>60</v>
      </c>
      <c r="B26" s="28"/>
      <c r="C26" s="27" t="s">
        <v>61</v>
      </c>
      <c r="D26" s="28"/>
      <c r="E26" s="5">
        <v>5</v>
      </c>
      <c r="F26" s="1">
        <f>E26*0.1</f>
        <v>0.5</v>
      </c>
      <c r="G26" s="1">
        <v>5</v>
      </c>
      <c r="H26" s="1">
        <v>3.4</v>
      </c>
      <c r="I26" s="1">
        <v>5</v>
      </c>
      <c r="J26" s="5">
        <f>AVERAGE(G26:I26)*0.4</f>
        <v>1.7866666666666668</v>
      </c>
      <c r="K26" s="1">
        <v>4.7</v>
      </c>
      <c r="L26" s="6">
        <f>K26*0.5</f>
        <v>2.35</v>
      </c>
      <c r="M26" s="6">
        <f>L26+J26+F26</f>
        <v>4.6366666666666667</v>
      </c>
      <c r="N26" s="6">
        <f>INT(M26*10)/10+IF(MOD(M26*10,1)&gt;=0.5,0.1,0)</f>
        <v>4.5999999999999996</v>
      </c>
      <c r="O26" s="1" t="str">
        <f>IF(M26&lt;3,3-M26,"No aplica")</f>
        <v>No aplica</v>
      </c>
    </row>
    <row r="27" spans="1:15">
      <c r="A27" s="27" t="s">
        <v>62</v>
      </c>
      <c r="B27" s="28"/>
      <c r="C27" s="27" t="s">
        <v>63</v>
      </c>
      <c r="D27" s="28"/>
      <c r="E27" s="5">
        <v>5</v>
      </c>
      <c r="F27" s="1">
        <f>E27*0.1</f>
        <v>0.5</v>
      </c>
      <c r="G27" s="1">
        <v>5</v>
      </c>
      <c r="H27" s="1">
        <v>4.8</v>
      </c>
      <c r="I27" s="1">
        <v>5</v>
      </c>
      <c r="J27" s="5">
        <f>AVERAGE(G27:I27)*0.4</f>
        <v>1.9733333333333336</v>
      </c>
      <c r="K27" s="1">
        <v>4.9000000000000004</v>
      </c>
      <c r="L27" s="6">
        <f>K27*0.5</f>
        <v>2.4500000000000002</v>
      </c>
      <c r="M27" s="6">
        <f>L27+J27+F27</f>
        <v>4.9233333333333338</v>
      </c>
      <c r="N27" s="6">
        <f>INT(M27*10)/10+IF(MOD(M27*10,1)&gt;=0.5,0.1,0)</f>
        <v>4.9000000000000004</v>
      </c>
      <c r="O27" s="1" t="str">
        <f>IF(M27&lt;3,3-M27,"No aplica")</f>
        <v>No aplica</v>
      </c>
    </row>
    <row r="28" spans="1:15">
      <c r="A28" s="27" t="s">
        <v>64</v>
      </c>
      <c r="B28" s="28"/>
      <c r="C28" s="27" t="s">
        <v>65</v>
      </c>
      <c r="D28" s="28"/>
      <c r="E28" s="5">
        <v>4.5999999999999996</v>
      </c>
      <c r="F28" s="1">
        <f>E28*0.1</f>
        <v>0.45999999999999996</v>
      </c>
      <c r="G28" s="1">
        <v>5</v>
      </c>
      <c r="H28" s="1">
        <v>4.5999999999999996</v>
      </c>
      <c r="I28" s="1">
        <v>5</v>
      </c>
      <c r="J28" s="5">
        <f>AVERAGE(G28:I28)*0.4</f>
        <v>1.9466666666666665</v>
      </c>
      <c r="K28" s="1">
        <v>3.7</v>
      </c>
      <c r="L28" s="6">
        <f>K28*0.5</f>
        <v>1.85</v>
      </c>
      <c r="M28" s="6">
        <f>L28+J28+F28</f>
        <v>4.2566666666666668</v>
      </c>
      <c r="N28" s="6">
        <f>INT(M28*10)/10+IF(MOD(M28*10,1)&gt;=0.5,0.1,0)</f>
        <v>4.3</v>
      </c>
      <c r="O28" s="1" t="str">
        <f>IF(M28&lt;3,3-M28,"No aplica")</f>
        <v>No aplica</v>
      </c>
    </row>
    <row r="29" spans="1:15">
      <c r="A29" s="27" t="s">
        <v>66</v>
      </c>
      <c r="B29" s="28"/>
      <c r="C29" s="27" t="s">
        <v>67</v>
      </c>
      <c r="D29" s="28"/>
      <c r="E29" s="5">
        <v>4.0999999999999996</v>
      </c>
      <c r="F29" s="1">
        <f>E29*0.1</f>
        <v>0.41</v>
      </c>
      <c r="G29" s="1">
        <v>5</v>
      </c>
      <c r="H29" s="1">
        <v>5</v>
      </c>
      <c r="I29" s="1">
        <v>5</v>
      </c>
      <c r="J29" s="5">
        <f>AVERAGE(G29:I29)*0.4</f>
        <v>2</v>
      </c>
      <c r="K29" s="1">
        <v>4.25</v>
      </c>
      <c r="L29" s="6">
        <f>K29*0.5</f>
        <v>2.125</v>
      </c>
      <c r="M29" s="6">
        <f>L29+J29+F29</f>
        <v>4.5350000000000001</v>
      </c>
      <c r="N29" s="6">
        <f>INT(M29*10)/10+IF(MOD(M29*10,1)&gt;=0.5,0.1,0)</f>
        <v>4.5</v>
      </c>
      <c r="O29" s="1" t="str">
        <f>IF(M29&lt;3,3-M29,"No aplica")</f>
        <v>No aplica</v>
      </c>
    </row>
    <row r="30" spans="1:15">
      <c r="A30" s="27" t="s">
        <v>68</v>
      </c>
      <c r="B30" s="28"/>
      <c r="C30" s="27" t="s">
        <v>69</v>
      </c>
      <c r="D30" s="28"/>
      <c r="E30" s="5">
        <v>4.3</v>
      </c>
      <c r="F30" s="1">
        <f>E30*0.1</f>
        <v>0.43</v>
      </c>
      <c r="G30" s="1">
        <v>5</v>
      </c>
      <c r="H30" s="1">
        <v>4.2</v>
      </c>
      <c r="I30" s="1">
        <v>5</v>
      </c>
      <c r="J30" s="5">
        <f>AVERAGE(G30:I30)*0.4</f>
        <v>1.8933333333333335</v>
      </c>
      <c r="K30" s="1">
        <v>4.7</v>
      </c>
      <c r="L30" s="6">
        <f>K30*0.5</f>
        <v>2.35</v>
      </c>
      <c r="M30" s="6">
        <f>L30+J30+F30</f>
        <v>4.6733333333333338</v>
      </c>
      <c r="N30" s="6">
        <f>INT(M30*10)/10+IF(MOD(M30*10,1)&gt;=0.5,0.1,0)</f>
        <v>4.6999999999999993</v>
      </c>
      <c r="O30" s="1" t="str">
        <f>IF(M30&lt;3,3-M30,"No aplica")</f>
        <v>No aplica</v>
      </c>
    </row>
    <row r="31" spans="1:15">
      <c r="A31" s="27" t="s">
        <v>70</v>
      </c>
      <c r="B31" s="28"/>
      <c r="C31" s="27" t="s">
        <v>71</v>
      </c>
      <c r="D31" s="28"/>
      <c r="E31" s="5">
        <v>4.5999999999999996</v>
      </c>
      <c r="F31" s="1">
        <f>E31*0.1</f>
        <v>0.45999999999999996</v>
      </c>
      <c r="G31" s="1">
        <v>5</v>
      </c>
      <c r="H31" s="1">
        <v>4.5</v>
      </c>
      <c r="I31" s="1">
        <v>5</v>
      </c>
      <c r="J31" s="5">
        <f>AVERAGE(G31:I31)*0.4</f>
        <v>1.9333333333333333</v>
      </c>
      <c r="K31" s="1">
        <v>4.55</v>
      </c>
      <c r="L31" s="6">
        <f>K31*0.5</f>
        <v>2.2749999999999999</v>
      </c>
      <c r="M31" s="6">
        <f>L31+J31+F31</f>
        <v>4.668333333333333</v>
      </c>
      <c r="N31" s="6">
        <f>INT(M31*10)/10+IF(MOD(M31*10,1)&gt;=0.5,0.1,0)</f>
        <v>4.6999999999999993</v>
      </c>
      <c r="O31" s="1" t="str">
        <f>IF(M31&lt;3,3-M31,"No aplica")</f>
        <v>No aplica</v>
      </c>
    </row>
    <row r="32" spans="1:15">
      <c r="A32" s="27" t="s">
        <v>72</v>
      </c>
      <c r="B32" s="28"/>
      <c r="C32" s="27" t="s">
        <v>73</v>
      </c>
      <c r="D32" s="28"/>
      <c r="E32" s="5">
        <v>4.3</v>
      </c>
      <c r="F32" s="1">
        <f>E32*0.1</f>
        <v>0.43</v>
      </c>
      <c r="G32" s="1">
        <v>5</v>
      </c>
      <c r="H32" s="1">
        <v>4.2</v>
      </c>
      <c r="I32" s="1">
        <v>5</v>
      </c>
      <c r="J32" s="5">
        <f>AVERAGE(G32:I32)*0.4</f>
        <v>1.8933333333333335</v>
      </c>
      <c r="K32" s="1">
        <v>3.7</v>
      </c>
      <c r="L32" s="6">
        <f>K32*0.5</f>
        <v>1.85</v>
      </c>
      <c r="M32" s="6">
        <f>L32+J32+F32</f>
        <v>4.1733333333333338</v>
      </c>
      <c r="N32" s="6">
        <f>INT(M32*10)/10+IF(MOD(M32*10,1)&gt;=0.5,0.1,0)</f>
        <v>4.1999999999999993</v>
      </c>
      <c r="O32" s="1" t="str">
        <f>IF(M32&lt;3,3-M32,"No aplica")</f>
        <v>No aplica</v>
      </c>
    </row>
    <row r="33" spans="1:15">
      <c r="A33" s="32" t="s">
        <v>74</v>
      </c>
      <c r="B33" s="33"/>
      <c r="C33" s="32" t="s">
        <v>75</v>
      </c>
      <c r="D33" s="33"/>
      <c r="E33" s="5">
        <v>4</v>
      </c>
      <c r="F33" s="1">
        <f>E33*0.1</f>
        <v>0.4</v>
      </c>
      <c r="G33" s="1">
        <v>5</v>
      </c>
      <c r="H33" s="1">
        <v>4.9000000000000004</v>
      </c>
      <c r="I33" s="1">
        <v>5</v>
      </c>
      <c r="J33" s="5">
        <f>AVERAGE(G33:I33)*0.4</f>
        <v>1.9866666666666668</v>
      </c>
      <c r="K33" s="1">
        <v>4.05</v>
      </c>
      <c r="L33" s="6">
        <f>K33*0.5</f>
        <v>2.0249999999999999</v>
      </c>
      <c r="M33" s="6">
        <f>L33+J33+F33</f>
        <v>4.4116666666666671</v>
      </c>
      <c r="N33" s="6">
        <f>INT(M33*10)/10+IF(MOD(M33*10,1)&gt;=0.5,0.1,0)</f>
        <v>4.4000000000000004</v>
      </c>
      <c r="O33" s="1" t="str">
        <f>IF(M33&lt;3,3-M33,"No aplica")</f>
        <v>No aplica</v>
      </c>
    </row>
    <row r="34" spans="1:15">
      <c r="A34" s="27" t="s">
        <v>76</v>
      </c>
      <c r="B34" s="28"/>
      <c r="C34" s="27" t="s">
        <v>77</v>
      </c>
      <c r="D34" s="28"/>
      <c r="E34" s="5">
        <v>4.5999999999999996</v>
      </c>
      <c r="F34" s="1">
        <f>E34*0.1</f>
        <v>0.45999999999999996</v>
      </c>
      <c r="G34" s="1">
        <v>5</v>
      </c>
      <c r="H34" s="1">
        <v>4.5</v>
      </c>
      <c r="I34" s="1">
        <v>5</v>
      </c>
      <c r="J34" s="5">
        <f>AVERAGE(G34:I34)*0.4</f>
        <v>1.9333333333333333</v>
      </c>
      <c r="K34" s="1">
        <v>4.55</v>
      </c>
      <c r="L34" s="6">
        <f>K34*0.5</f>
        <v>2.2749999999999999</v>
      </c>
      <c r="M34" s="6">
        <f>L34+J34+F34</f>
        <v>4.668333333333333</v>
      </c>
      <c r="N34" s="6">
        <f>INT(M34*10)/10+IF(MOD(M34*10,1)&gt;=0.5,0.1,0)</f>
        <v>4.6999999999999993</v>
      </c>
      <c r="O34" s="1" t="str">
        <f>IF(M34&lt;3,3-M34,"No aplica")</f>
        <v>No aplica</v>
      </c>
    </row>
    <row r="35" spans="1:15">
      <c r="A35" s="27" t="s">
        <v>78</v>
      </c>
      <c r="B35" s="28"/>
      <c r="C35" s="27" t="s">
        <v>79</v>
      </c>
      <c r="D35" s="28"/>
      <c r="E35" s="5">
        <v>3.1</v>
      </c>
      <c r="F35" s="1">
        <f>E35*0.1</f>
        <v>0.31000000000000005</v>
      </c>
      <c r="G35" s="1">
        <v>5</v>
      </c>
      <c r="H35" s="1">
        <v>4.5</v>
      </c>
      <c r="I35" s="1">
        <v>5</v>
      </c>
      <c r="J35" s="5">
        <f>AVERAGE(G35:I35)*0.4</f>
        <v>1.9333333333333333</v>
      </c>
      <c r="K35" s="1">
        <v>3.15</v>
      </c>
      <c r="L35" s="6">
        <f>K35*0.5</f>
        <v>1.575</v>
      </c>
      <c r="M35" s="6">
        <f>L35+J35+F35</f>
        <v>3.8183333333333334</v>
      </c>
      <c r="N35" s="6">
        <f>INT(M35*10)/10+IF(MOD(M35*10,1)&gt;=0.5,0.1,0)</f>
        <v>3.8</v>
      </c>
      <c r="O35" s="1" t="str">
        <f>IF(M35&lt;3,3-M35,"No aplica")</f>
        <v>No aplica</v>
      </c>
    </row>
    <row r="36" spans="1:15">
      <c r="A36" s="27" t="s">
        <v>80</v>
      </c>
      <c r="B36" s="28"/>
      <c r="C36" s="27" t="s">
        <v>81</v>
      </c>
      <c r="D36" s="28"/>
      <c r="E36" s="5">
        <v>4.9000000000000004</v>
      </c>
      <c r="F36" s="1">
        <f>E36*0.1</f>
        <v>0.49000000000000005</v>
      </c>
      <c r="G36" s="1">
        <v>5</v>
      </c>
      <c r="H36" s="1">
        <v>4.8</v>
      </c>
      <c r="I36" s="1">
        <v>5</v>
      </c>
      <c r="J36" s="5">
        <f>AVERAGE(G36:I36)*0.4</f>
        <v>1.9733333333333336</v>
      </c>
      <c r="K36" s="1">
        <v>4.75</v>
      </c>
      <c r="L36" s="6">
        <f>K36*0.5</f>
        <v>2.375</v>
      </c>
      <c r="M36" s="6">
        <f>L36+J36+F36</f>
        <v>4.8383333333333338</v>
      </c>
      <c r="N36" s="6">
        <f>INT(M36*10)/10+IF(MOD(M36*10,1)&gt;=0.5,0.1,0)</f>
        <v>4.8</v>
      </c>
      <c r="O36" s="1" t="str">
        <f>IF(M36&lt;3,3-M36,"No aplica")</f>
        <v>No aplica</v>
      </c>
    </row>
    <row r="37" spans="1:15">
      <c r="A37" s="27" t="s">
        <v>82</v>
      </c>
      <c r="B37" s="28"/>
      <c r="C37" s="27" t="s">
        <v>83</v>
      </c>
      <c r="D37" s="28"/>
      <c r="E37" s="5">
        <v>5</v>
      </c>
      <c r="F37" s="1">
        <f>E37*0.1</f>
        <v>0.5</v>
      </c>
      <c r="G37" s="1">
        <v>5</v>
      </c>
      <c r="H37" s="1">
        <v>4.8</v>
      </c>
      <c r="I37" s="1">
        <v>5</v>
      </c>
      <c r="J37" s="5">
        <f>AVERAGE(G37:I37)*0.4</f>
        <v>1.9733333333333336</v>
      </c>
      <c r="K37" s="1">
        <v>4.9000000000000004</v>
      </c>
      <c r="L37" s="6">
        <f>K37*0.5</f>
        <v>2.4500000000000002</v>
      </c>
      <c r="M37" s="6">
        <f>L37+J37+F37</f>
        <v>4.9233333333333338</v>
      </c>
      <c r="N37" s="6">
        <f>INT(M37*10)/10+IF(MOD(M37*10,1)&gt;=0.5,0.1,0)</f>
        <v>4.9000000000000004</v>
      </c>
      <c r="O37" s="1" t="str">
        <f>IF(M37&lt;3,3-M37,"No aplica")</f>
        <v>No aplica</v>
      </c>
    </row>
    <row r="38" spans="1:15">
      <c r="A38" s="27" t="s">
        <v>84</v>
      </c>
      <c r="B38" s="28"/>
      <c r="C38" s="27" t="s">
        <v>85</v>
      </c>
      <c r="D38" s="28"/>
      <c r="E38" s="5">
        <v>4.0999999999999996</v>
      </c>
      <c r="F38" s="1">
        <f>E38*0.1</f>
        <v>0.41</v>
      </c>
      <c r="G38" s="1">
        <v>5</v>
      </c>
      <c r="H38" s="1">
        <v>5</v>
      </c>
      <c r="I38" s="1">
        <v>5</v>
      </c>
      <c r="J38" s="5">
        <f>AVERAGE(G38:I38)*0.4</f>
        <v>2</v>
      </c>
      <c r="K38" s="1">
        <v>4.25</v>
      </c>
      <c r="L38" s="6">
        <f>K38*0.5</f>
        <v>2.125</v>
      </c>
      <c r="M38" s="6">
        <f>L38+J38+F38</f>
        <v>4.5350000000000001</v>
      </c>
      <c r="N38" s="6">
        <f>INT(M38*10)/10+IF(MOD(M38*10,1)&gt;=0.5,0.1,0)</f>
        <v>4.5</v>
      </c>
      <c r="O38" s="1" t="str">
        <f>IF(M38&lt;3,3-M38,"No aplica")</f>
        <v>No aplica</v>
      </c>
    </row>
    <row r="39" spans="1:15">
      <c r="A39" s="27" t="s">
        <v>86</v>
      </c>
      <c r="B39" s="28"/>
      <c r="C39" s="27" t="s">
        <v>87</v>
      </c>
      <c r="D39" s="28"/>
      <c r="E39" s="5">
        <v>5</v>
      </c>
      <c r="F39" s="1">
        <f>E39*0.1</f>
        <v>0.5</v>
      </c>
      <c r="G39" s="1">
        <v>5</v>
      </c>
      <c r="H39" s="1">
        <v>3.4</v>
      </c>
      <c r="I39" s="1">
        <v>5</v>
      </c>
      <c r="J39" s="5">
        <f>AVERAGE(G39:I39)*0.4</f>
        <v>1.7866666666666668</v>
      </c>
      <c r="K39" s="1">
        <v>4.7</v>
      </c>
      <c r="L39" s="6">
        <f>K39*0.5</f>
        <v>2.35</v>
      </c>
      <c r="M39" s="6">
        <f>L39+J39+F39</f>
        <v>4.6366666666666667</v>
      </c>
      <c r="N39" s="6">
        <f>INT(M39*10)/10+IF(MOD(M39*10,1)&gt;=0.5,0.1,0)</f>
        <v>4.5999999999999996</v>
      </c>
      <c r="O39" s="1" t="str">
        <f>IF(M39&lt;3,3-M39,"No aplica")</f>
        <v>No aplica</v>
      </c>
    </row>
    <row r="40" spans="1:15">
      <c r="A40" s="27" t="s">
        <v>88</v>
      </c>
      <c r="B40" s="28"/>
      <c r="C40" s="27" t="s">
        <v>89</v>
      </c>
      <c r="D40" s="28"/>
      <c r="E40" s="13">
        <v>4.9000000000000004</v>
      </c>
      <c r="F40" s="1">
        <f>E40*0.1</f>
        <v>0.49000000000000005</v>
      </c>
      <c r="G40" s="1">
        <v>5</v>
      </c>
      <c r="H40" s="1">
        <v>3.4</v>
      </c>
      <c r="I40" s="1">
        <v>5</v>
      </c>
      <c r="J40" s="5">
        <f>AVERAGE(G40:I40)*0.4</f>
        <v>1.7866666666666668</v>
      </c>
      <c r="K40" s="1">
        <v>4.7</v>
      </c>
      <c r="L40" s="6">
        <f>K40*0.5</f>
        <v>2.35</v>
      </c>
      <c r="M40" s="6">
        <f>L40+J40+F40</f>
        <v>4.6266666666666669</v>
      </c>
      <c r="N40" s="6">
        <f>INT(M40*10)/10+IF(MOD(M40*10,1)&gt;=0.5,0.1,0)</f>
        <v>4.5999999999999996</v>
      </c>
      <c r="O40" s="1" t="str">
        <f>IF(M40&lt;3,3-M40,"No aplica")</f>
        <v>No aplica</v>
      </c>
    </row>
    <row r="41" spans="1:15">
      <c r="A41" s="32" t="s">
        <v>90</v>
      </c>
      <c r="B41" s="33"/>
      <c r="C41" s="32" t="s">
        <v>91</v>
      </c>
      <c r="D41" s="33"/>
      <c r="E41" s="5">
        <v>4.9000000000000004</v>
      </c>
      <c r="F41" s="1">
        <f>E41*0.1</f>
        <v>0.49000000000000005</v>
      </c>
      <c r="G41" s="1">
        <v>5</v>
      </c>
      <c r="H41" s="1">
        <v>4.5</v>
      </c>
      <c r="I41" s="1">
        <v>5</v>
      </c>
      <c r="J41" s="5">
        <f>AVERAGE(G41:I41)*0.4</f>
        <v>1.9333333333333333</v>
      </c>
      <c r="K41" s="1">
        <v>4.7</v>
      </c>
      <c r="L41" s="6">
        <f>K41*0.5</f>
        <v>2.35</v>
      </c>
      <c r="M41" s="6">
        <f>L41+J41+F41</f>
        <v>4.7733333333333334</v>
      </c>
      <c r="N41" s="6">
        <f>INT(M41*10)/10+IF(MOD(M41*10,1)&gt;=0.5,0.1,0)</f>
        <v>4.8</v>
      </c>
      <c r="O41" s="1" t="str">
        <f>IF(M41&lt;3,3-M41,"No aplica")</f>
        <v>No aplica</v>
      </c>
    </row>
    <row r="42" spans="1:15">
      <c r="A42" s="27" t="s">
        <v>92</v>
      </c>
      <c r="B42" s="28"/>
      <c r="C42" s="27" t="s">
        <v>93</v>
      </c>
      <c r="D42" s="28"/>
      <c r="E42" s="5">
        <v>4.8</v>
      </c>
      <c r="F42" s="1">
        <f>E42*0.1</f>
        <v>0.48</v>
      </c>
      <c r="G42" s="1">
        <v>5</v>
      </c>
      <c r="H42" s="1">
        <v>4</v>
      </c>
      <c r="I42" s="1">
        <v>5</v>
      </c>
      <c r="J42" s="5">
        <f>AVERAGE(G42:I42)*0.4</f>
        <v>1.8666666666666669</v>
      </c>
      <c r="K42" s="1">
        <v>4.75</v>
      </c>
      <c r="L42" s="6">
        <f>K42*0.5</f>
        <v>2.375</v>
      </c>
      <c r="M42" s="6">
        <f>L42+J42+F42</f>
        <v>4.7216666666666676</v>
      </c>
      <c r="N42" s="6">
        <f>INT(M42*10)/10+IF(MOD(M42*10,1)&gt;=0.5,0.1,0)</f>
        <v>4.7</v>
      </c>
      <c r="O42" s="1" t="str">
        <f>IF(M42&lt;3,3-M42,"No aplica")</f>
        <v>No aplica</v>
      </c>
    </row>
    <row r="43" spans="1:15">
      <c r="A43" s="27" t="s">
        <v>94</v>
      </c>
      <c r="B43" s="28"/>
      <c r="C43" s="27" t="s">
        <v>95</v>
      </c>
      <c r="D43" s="28"/>
      <c r="E43" s="5">
        <v>3.6</v>
      </c>
      <c r="F43" s="1">
        <f>E43*0.1</f>
        <v>0.36000000000000004</v>
      </c>
      <c r="G43" s="1">
        <v>5</v>
      </c>
      <c r="H43" s="1">
        <v>4</v>
      </c>
      <c r="I43" s="1">
        <v>5</v>
      </c>
      <c r="J43" s="5">
        <f>AVERAGE(G43:I43)*0.4</f>
        <v>1.8666666666666669</v>
      </c>
      <c r="K43" s="1">
        <v>3.7</v>
      </c>
      <c r="L43" s="6">
        <f>K43*0.5</f>
        <v>1.85</v>
      </c>
      <c r="M43" s="6">
        <f>L43+J43+F43</f>
        <v>4.0766666666666671</v>
      </c>
      <c r="N43" s="6">
        <f>INT(M43*10)/10+IF(MOD(M43*10,1)&gt;=0.5,0.1,0)</f>
        <v>4.0999999999999996</v>
      </c>
      <c r="O43" s="1" t="str">
        <f>IF(M43&lt;3,3-M43,"No aplica")</f>
        <v>No aplica</v>
      </c>
    </row>
    <row r="44" spans="1:15">
      <c r="A44" s="27" t="s">
        <v>96</v>
      </c>
      <c r="B44" s="28"/>
      <c r="C44" s="27" t="s">
        <v>97</v>
      </c>
      <c r="D44" s="28"/>
      <c r="E44" s="5">
        <v>4.9000000000000004</v>
      </c>
      <c r="F44" s="1">
        <f>E44*0.1</f>
        <v>0.49000000000000005</v>
      </c>
      <c r="G44" s="1">
        <v>5</v>
      </c>
      <c r="H44" s="1">
        <v>4.7</v>
      </c>
      <c r="I44" s="1">
        <v>5</v>
      </c>
      <c r="J44" s="5">
        <f>AVERAGE(G44:I44)*0.4</f>
        <v>1.96</v>
      </c>
      <c r="K44" s="1">
        <v>4.75</v>
      </c>
      <c r="L44" s="6">
        <f>K44*0.5</f>
        <v>2.375</v>
      </c>
      <c r="M44" s="6">
        <f>L44+J44+F44</f>
        <v>4.8250000000000002</v>
      </c>
      <c r="N44" s="6">
        <f>INT(M44*10)/10+IF(MOD(M44*10,1)&gt;=0.5,0.1,0)</f>
        <v>4.8</v>
      </c>
      <c r="O44" s="1" t="str">
        <f>IF(M44&lt;3,3-M44,"No aplica")</f>
        <v>No aplica</v>
      </c>
    </row>
    <row r="45" spans="1:15">
      <c r="A45" s="27" t="s">
        <v>98</v>
      </c>
      <c r="B45" s="28"/>
      <c r="C45" s="27" t="s">
        <v>99</v>
      </c>
      <c r="D45" s="28"/>
      <c r="E45" s="5">
        <v>4.7</v>
      </c>
      <c r="F45" s="1">
        <f>E45*0.1</f>
        <v>0.47000000000000003</v>
      </c>
      <c r="G45" s="1">
        <v>5</v>
      </c>
      <c r="H45" s="1">
        <v>4.8</v>
      </c>
      <c r="I45" s="1">
        <v>5</v>
      </c>
      <c r="J45" s="5">
        <f>AVERAGE(G45:I45)*0.4</f>
        <v>1.9733333333333336</v>
      </c>
      <c r="K45" s="1">
        <v>4.45</v>
      </c>
      <c r="L45" s="6">
        <f>K45*0.5</f>
        <v>2.2250000000000001</v>
      </c>
      <c r="M45" s="6">
        <f>L45+J45+F45</f>
        <v>4.6683333333333339</v>
      </c>
      <c r="N45" s="6">
        <f>INT(M45*10)/10+IF(MOD(M45*10,1)&gt;=0.5,0.1,0)</f>
        <v>4.6999999999999993</v>
      </c>
      <c r="O45" s="1" t="str">
        <f>IF(M45&lt;3,3-M45,"No aplica")</f>
        <v>No aplica</v>
      </c>
    </row>
    <row r="46" spans="1:15">
      <c r="A46" s="27" t="s">
        <v>100</v>
      </c>
      <c r="B46" s="28"/>
      <c r="C46" s="27" t="s">
        <v>101</v>
      </c>
      <c r="D46" s="28"/>
      <c r="E46" s="5">
        <v>2.5</v>
      </c>
      <c r="F46" s="1">
        <f>E46*0.1</f>
        <v>0.25</v>
      </c>
      <c r="G46" s="1">
        <v>5</v>
      </c>
      <c r="H46" s="1">
        <v>5</v>
      </c>
      <c r="I46" s="1">
        <v>5</v>
      </c>
      <c r="J46" s="5">
        <f>AVERAGE(G46:I46)*0.4</f>
        <v>2</v>
      </c>
      <c r="K46" s="1">
        <v>3</v>
      </c>
      <c r="L46" s="6">
        <f>K46*0.5</f>
        <v>1.5</v>
      </c>
      <c r="M46" s="6">
        <f>L46+J46+F46</f>
        <v>3.75</v>
      </c>
      <c r="N46" s="6">
        <f>INT(M46*10)/10+IF(MOD(M46*10,1)&gt;=0.5,0.1,0)</f>
        <v>3.8000000000000003</v>
      </c>
      <c r="O46" s="1" t="str">
        <f>IF(M46&lt;3,3-M46,"No aplica")</f>
        <v>No aplica</v>
      </c>
    </row>
    <row r="47" spans="1:15">
      <c r="A47" s="27" t="s">
        <v>102</v>
      </c>
      <c r="B47" s="28"/>
      <c r="C47" s="27" t="s">
        <v>103</v>
      </c>
      <c r="D47" s="28"/>
      <c r="E47" s="5">
        <v>4.4000000000000004</v>
      </c>
      <c r="F47" s="1">
        <f>E47*0.1</f>
        <v>0.44000000000000006</v>
      </c>
      <c r="G47" s="1">
        <v>5</v>
      </c>
      <c r="H47" s="1">
        <v>4.9000000000000004</v>
      </c>
      <c r="I47" s="1">
        <v>5</v>
      </c>
      <c r="J47" s="5">
        <f>AVERAGE(G47:I47)*0.4</f>
        <v>1.9866666666666668</v>
      </c>
      <c r="K47" s="1">
        <v>4.7</v>
      </c>
      <c r="L47" s="6">
        <f>K47*0.5</f>
        <v>2.35</v>
      </c>
      <c r="M47" s="6">
        <f>L47+J47+F47</f>
        <v>4.7766666666666673</v>
      </c>
      <c r="N47" s="6">
        <f>INT(M47*10)/10+IF(MOD(M47*10,1)&gt;=0.5,0.1,0)</f>
        <v>4.8</v>
      </c>
      <c r="O47" s="1" t="str">
        <f>IF(M47&lt;3,3-M47,"No aplica")</f>
        <v>No aplica</v>
      </c>
    </row>
    <row r="48" spans="1:15">
      <c r="A48" s="32" t="s">
        <v>104</v>
      </c>
      <c r="B48" s="33"/>
      <c r="C48" s="32" t="s">
        <v>105</v>
      </c>
      <c r="D48" s="33"/>
      <c r="E48" s="5">
        <v>3.5</v>
      </c>
      <c r="F48" s="1">
        <f>E48*0.1</f>
        <v>0.35000000000000003</v>
      </c>
      <c r="G48" s="1">
        <v>5</v>
      </c>
      <c r="H48" s="1">
        <v>4.7</v>
      </c>
      <c r="I48" s="1">
        <v>5</v>
      </c>
      <c r="J48" s="5">
        <f>AVERAGE(G48:I48)*0.4</f>
        <v>1.96</v>
      </c>
      <c r="K48" s="1">
        <v>4.25</v>
      </c>
      <c r="L48" s="6">
        <f>K48*0.5</f>
        <v>2.125</v>
      </c>
      <c r="M48" s="6">
        <f>L48+J48+F48</f>
        <v>4.4349999999999996</v>
      </c>
      <c r="N48" s="6">
        <f>INT(M48*10)/10+IF(MOD(M48*10,1)&gt;=0.5,0.1,0)</f>
        <v>4.4000000000000004</v>
      </c>
      <c r="O48" s="1" t="str">
        <f>IF(M48&lt;3,3-M48,"No aplica")</f>
        <v>No aplica</v>
      </c>
    </row>
    <row r="49" spans="1:15">
      <c r="A49" s="32" t="s">
        <v>106</v>
      </c>
      <c r="B49" s="33"/>
      <c r="C49" s="32" t="s">
        <v>107</v>
      </c>
      <c r="D49" s="33"/>
      <c r="E49" s="5">
        <v>4</v>
      </c>
      <c r="F49" s="1">
        <f>E49*0.1</f>
        <v>0.4</v>
      </c>
      <c r="G49" s="1">
        <v>5</v>
      </c>
      <c r="H49" s="1">
        <v>5</v>
      </c>
      <c r="I49" s="1">
        <v>5</v>
      </c>
      <c r="J49" s="5">
        <f>AVERAGE(G49:I49)*0.4</f>
        <v>2</v>
      </c>
      <c r="K49" s="1">
        <v>4.7</v>
      </c>
      <c r="L49" s="6">
        <f>K49*0.5</f>
        <v>2.35</v>
      </c>
      <c r="M49" s="6">
        <f>L49+J49+F49</f>
        <v>4.75</v>
      </c>
      <c r="N49" s="6">
        <f>INT(M49*10)/10+IF(MOD(M49*10,1)&gt;=0.5,0.1,0)</f>
        <v>4.8</v>
      </c>
      <c r="O49" s="1" t="str">
        <f>IF(M49&lt;3,3-M49,"No aplica")</f>
        <v>No aplica</v>
      </c>
    </row>
    <row r="50" spans="1:15">
      <c r="A50" s="32" t="s">
        <v>108</v>
      </c>
      <c r="B50" s="33"/>
      <c r="C50" s="32" t="s">
        <v>109</v>
      </c>
      <c r="D50" s="33"/>
      <c r="E50" s="5">
        <v>4.7</v>
      </c>
      <c r="F50" s="1">
        <f>E50*0.1</f>
        <v>0.47000000000000003</v>
      </c>
      <c r="G50" s="1">
        <v>5</v>
      </c>
      <c r="H50" s="1">
        <v>4.8</v>
      </c>
      <c r="I50" s="1">
        <v>5</v>
      </c>
      <c r="J50" s="5">
        <f>AVERAGE(G50:I50)*0.4</f>
        <v>1.9733333333333336</v>
      </c>
      <c r="K50" s="1">
        <v>4.45</v>
      </c>
      <c r="L50" s="6">
        <f>K50*0.5</f>
        <v>2.2250000000000001</v>
      </c>
      <c r="M50" s="6">
        <f>L50+J50+F50</f>
        <v>4.6683333333333339</v>
      </c>
      <c r="N50" s="6">
        <f>INT(M50*10)/10+IF(MOD(M50*10,1)&gt;=0.5,0.1,0)</f>
        <v>4.6999999999999993</v>
      </c>
      <c r="O50" s="1" t="str">
        <f>IF(M50&lt;3,3-M50,"No aplica")</f>
        <v>No aplica</v>
      </c>
    </row>
    <row r="51" spans="1:15">
      <c r="A51" s="32" t="s">
        <v>110</v>
      </c>
      <c r="B51" s="33"/>
      <c r="C51" s="32" t="s">
        <v>111</v>
      </c>
      <c r="D51" s="33"/>
      <c r="E51" s="5">
        <v>4.0999999999999996</v>
      </c>
      <c r="F51" s="1">
        <f>E51*0.1</f>
        <v>0.41</v>
      </c>
      <c r="G51" s="1">
        <v>5</v>
      </c>
      <c r="H51" s="1">
        <v>5</v>
      </c>
      <c r="I51" s="1">
        <v>5</v>
      </c>
      <c r="J51" s="5">
        <f>AVERAGE(G51:I51)*0.4</f>
        <v>2</v>
      </c>
      <c r="K51" s="1">
        <v>4.45</v>
      </c>
      <c r="L51" s="6">
        <f>K51*0.5</f>
        <v>2.2250000000000001</v>
      </c>
      <c r="M51" s="6">
        <f>L51+J51+F51</f>
        <v>4.6349999999999998</v>
      </c>
      <c r="N51" s="6">
        <f>INT(M51*10)/10+IF(MOD(M51*10,1)&gt;=0.5,0.1,0)</f>
        <v>4.5999999999999996</v>
      </c>
      <c r="O51" s="1" t="str">
        <f>IF(M51&lt;3,3-M51,"No aplica")</f>
        <v>No aplica</v>
      </c>
    </row>
    <row r="52" spans="1:15">
      <c r="A52" s="32" t="s">
        <v>112</v>
      </c>
      <c r="B52" s="33"/>
      <c r="C52" s="32" t="s">
        <v>113</v>
      </c>
      <c r="D52" s="33"/>
      <c r="E52" s="5">
        <v>3.1</v>
      </c>
      <c r="F52" s="1">
        <f>E52*0.1</f>
        <v>0.31000000000000005</v>
      </c>
      <c r="G52" s="1">
        <v>5</v>
      </c>
      <c r="H52" s="1">
        <v>5</v>
      </c>
      <c r="I52" s="1">
        <v>5</v>
      </c>
      <c r="J52" s="5">
        <f>AVERAGE(G52:I52)*0.4</f>
        <v>2</v>
      </c>
      <c r="K52" s="1">
        <v>3.15</v>
      </c>
      <c r="L52" s="6">
        <f>K52*0.5</f>
        <v>1.575</v>
      </c>
      <c r="M52" s="6">
        <f>L52+J52+F52</f>
        <v>3.8850000000000002</v>
      </c>
      <c r="N52" s="6">
        <f>INT(M52*10)/10+IF(MOD(M52*10,1)&gt;=0.5,0.1,0)</f>
        <v>3.9</v>
      </c>
      <c r="O52" s="1" t="str">
        <f>IF(M52&lt;3,3-M52,"No aplica")</f>
        <v>No aplica</v>
      </c>
    </row>
  </sheetData>
  <autoFilter ref="A7:O7" xr:uid="{00000000-0001-0000-0000-000000000000}">
    <filterColumn colId="0" showButton="0"/>
    <filterColumn colId="2" showButton="0"/>
    <sortState xmlns:xlrd2="http://schemas.microsoft.com/office/spreadsheetml/2017/richdata2" ref="A8:O52">
      <sortCondition ref="C7"/>
    </sortState>
  </autoFilter>
  <mergeCells count="102">
    <mergeCell ref="A50:B50"/>
    <mergeCell ref="C50:D50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  <mergeCell ref="A44:B44"/>
    <mergeCell ref="C44:D44"/>
    <mergeCell ref="A45:B45"/>
    <mergeCell ref="C45:D45"/>
    <mergeCell ref="A46:B46"/>
    <mergeCell ref="C46:D46"/>
    <mergeCell ref="A41:B41"/>
    <mergeCell ref="C41:D41"/>
    <mergeCell ref="A42:B42"/>
    <mergeCell ref="C42:D42"/>
    <mergeCell ref="A43:B43"/>
    <mergeCell ref="C43:D43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0:B10"/>
    <mergeCell ref="C10:D10"/>
    <mergeCell ref="A4:B4"/>
    <mergeCell ref="C4:I4"/>
    <mergeCell ref="A6:D6"/>
    <mergeCell ref="G6:I6"/>
    <mergeCell ref="A7:B7"/>
    <mergeCell ref="C7:D7"/>
    <mergeCell ref="A14:B14"/>
    <mergeCell ref="C14:D14"/>
    <mergeCell ref="A1:B1"/>
    <mergeCell ref="C1:I1"/>
    <mergeCell ref="A2:B2"/>
    <mergeCell ref="C2:I2"/>
    <mergeCell ref="A3:B3"/>
    <mergeCell ref="C3:I3"/>
    <mergeCell ref="A8:B8"/>
    <mergeCell ref="C8:D8"/>
    <mergeCell ref="A9:B9"/>
    <mergeCell ref="C9:D9"/>
  </mergeCells>
  <conditionalFormatting sqref="E8:E52">
    <cfRule type="expression" dxfId="27" priority="3">
      <formula>E8&lt;3</formula>
    </cfRule>
    <cfRule type="expression" dxfId="26" priority="4">
      <formula>E8&gt;=3</formula>
    </cfRule>
  </conditionalFormatting>
  <conditionalFormatting sqref="G8:I52">
    <cfRule type="expression" dxfId="25" priority="11">
      <formula>G8&gt;=3</formula>
    </cfRule>
    <cfRule type="expression" dxfId="24" priority="12">
      <formula>G8&lt;3</formula>
    </cfRule>
  </conditionalFormatting>
  <conditionalFormatting sqref="K8:K52">
    <cfRule type="expression" dxfId="23" priority="9">
      <formula>K8&gt;=3</formula>
    </cfRule>
    <cfRule type="expression" dxfId="22" priority="10">
      <formula>K8&lt;3</formula>
    </cfRule>
  </conditionalFormatting>
  <conditionalFormatting sqref="M8:M52">
    <cfRule type="expression" dxfId="21" priority="7">
      <formula>M8&gt;=3</formula>
    </cfRule>
    <cfRule type="expression" dxfId="20" priority="8">
      <formula>M8&lt;3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9F70-9829-4ACB-9B32-31894C79A29F}">
  <dimension ref="A1:T54"/>
  <sheetViews>
    <sheetView workbookViewId="0">
      <pane xSplit="4" topLeftCell="E19" activePane="topRight" state="frozen"/>
      <selection pane="topRight" activeCell="T36" sqref="T36"/>
    </sheetView>
  </sheetViews>
  <sheetFormatPr defaultRowHeight="15"/>
  <cols>
    <col min="3" max="3" width="12" customWidth="1"/>
    <col min="4" max="4" width="26.5703125" customWidth="1"/>
    <col min="5" max="5" width="11" bestFit="1" customWidth="1"/>
    <col min="6" max="6" width="14.42578125" bestFit="1" customWidth="1"/>
    <col min="8" max="8" width="13.85546875" customWidth="1"/>
    <col min="9" max="10" width="14.28515625" customWidth="1"/>
    <col min="14" max="14" width="33" bestFit="1" customWidth="1"/>
    <col min="15" max="15" width="33" customWidth="1"/>
    <col min="16" max="16" width="11.42578125" bestFit="1" customWidth="1"/>
    <col min="17" max="17" width="9.7109375" bestFit="1" customWidth="1"/>
    <col min="18" max="18" width="11" bestFit="1" customWidth="1"/>
    <col min="19" max="19" width="20.5703125" bestFit="1" customWidth="1"/>
    <col min="20" max="20" width="19.7109375" bestFit="1" customWidth="1"/>
  </cols>
  <sheetData>
    <row r="1" spans="1:20">
      <c r="A1" s="20" t="s">
        <v>0</v>
      </c>
      <c r="B1" s="20"/>
      <c r="C1" s="21" t="s">
        <v>1</v>
      </c>
      <c r="D1" s="21"/>
      <c r="E1" s="21"/>
      <c r="F1" s="21"/>
      <c r="G1" s="21"/>
      <c r="H1" s="21"/>
      <c r="I1" s="21"/>
      <c r="J1" s="16"/>
    </row>
    <row r="2" spans="1:20">
      <c r="A2" s="20" t="s">
        <v>2</v>
      </c>
      <c r="B2" s="20"/>
      <c r="C2" s="41" t="s">
        <v>3</v>
      </c>
      <c r="D2" s="41"/>
      <c r="E2" s="41"/>
      <c r="F2" s="41"/>
      <c r="G2" s="41"/>
      <c r="H2" s="41"/>
      <c r="I2" s="41"/>
      <c r="J2" s="16"/>
    </row>
    <row r="3" spans="1:20">
      <c r="A3" s="22" t="s">
        <v>4</v>
      </c>
      <c r="B3" s="42"/>
      <c r="C3" s="21" t="s">
        <v>5</v>
      </c>
      <c r="D3" s="21"/>
      <c r="E3" s="21"/>
      <c r="F3" s="21"/>
      <c r="G3" s="21"/>
      <c r="H3" s="21"/>
      <c r="I3" s="21"/>
      <c r="J3" s="16"/>
      <c r="M3" s="12"/>
    </row>
    <row r="4" spans="1:20">
      <c r="A4" s="20" t="s">
        <v>6</v>
      </c>
      <c r="B4" s="20"/>
      <c r="C4" s="40" t="s">
        <v>7</v>
      </c>
      <c r="D4" s="40"/>
      <c r="E4" s="40"/>
      <c r="F4" s="40"/>
      <c r="G4" s="40"/>
      <c r="H4" s="40"/>
      <c r="I4" s="40"/>
      <c r="J4" s="16"/>
    </row>
    <row r="6" spans="1:20">
      <c r="A6" s="29" t="s">
        <v>8</v>
      </c>
      <c r="B6" s="29"/>
      <c r="C6" s="29"/>
      <c r="D6" s="29"/>
      <c r="E6" s="34" t="s">
        <v>9</v>
      </c>
      <c r="F6" s="36"/>
      <c r="G6" s="4">
        <v>0.1</v>
      </c>
      <c r="H6" s="29" t="s">
        <v>10</v>
      </c>
      <c r="I6" s="29"/>
      <c r="J6" s="15"/>
      <c r="K6" s="3">
        <v>0.4</v>
      </c>
      <c r="L6" s="2" t="s">
        <v>11</v>
      </c>
      <c r="M6" s="4">
        <v>0.5</v>
      </c>
      <c r="N6" s="37" t="s">
        <v>12</v>
      </c>
      <c r="O6" s="39"/>
      <c r="P6" s="4" t="s">
        <v>13</v>
      </c>
      <c r="Q6" s="7" t="s">
        <v>14</v>
      </c>
      <c r="R6" s="7" t="s">
        <v>15</v>
      </c>
      <c r="S6" s="2" t="s">
        <v>16</v>
      </c>
      <c r="T6" s="2" t="s">
        <v>117</v>
      </c>
    </row>
    <row r="7" spans="1:20">
      <c r="A7" s="30" t="s">
        <v>17</v>
      </c>
      <c r="B7" s="31"/>
      <c r="C7" s="30" t="s">
        <v>18</v>
      </c>
      <c r="D7" s="30"/>
      <c r="E7" s="8" t="s">
        <v>118</v>
      </c>
      <c r="F7" s="8" t="s">
        <v>119</v>
      </c>
      <c r="G7" s="8"/>
      <c r="H7" s="14" t="s">
        <v>120</v>
      </c>
      <c r="I7" s="14" t="s">
        <v>121</v>
      </c>
      <c r="J7" s="17" t="s">
        <v>122</v>
      </c>
      <c r="K7" s="9"/>
      <c r="L7" s="8"/>
      <c r="M7" s="10"/>
      <c r="N7" s="10" t="s">
        <v>123</v>
      </c>
      <c r="O7" s="10" t="s">
        <v>124</v>
      </c>
      <c r="P7" s="10"/>
      <c r="Q7" s="10"/>
      <c r="R7" s="10"/>
      <c r="S7" s="8"/>
      <c r="T7" s="8"/>
    </row>
    <row r="8" spans="1:20">
      <c r="A8" s="27" t="s">
        <v>24</v>
      </c>
      <c r="B8" s="28"/>
      <c r="C8" s="27" t="s">
        <v>25</v>
      </c>
      <c r="D8" s="28"/>
      <c r="E8" s="13">
        <v>5</v>
      </c>
      <c r="F8" s="13">
        <v>5</v>
      </c>
      <c r="G8" s="1">
        <f>AVERAGE(E8:F8)*0.1</f>
        <v>0.5</v>
      </c>
      <c r="H8" s="1">
        <v>4.3</v>
      </c>
      <c r="I8" s="1">
        <v>5</v>
      </c>
      <c r="J8" s="5">
        <f>AVERAGE(I8,E8:F8)</f>
        <v>5</v>
      </c>
      <c r="K8" s="5">
        <f>AVERAGE(H8,J8)*0.4</f>
        <v>1.8600000000000003</v>
      </c>
      <c r="L8" s="1">
        <v>5</v>
      </c>
      <c r="M8" s="6">
        <f>L8*0.5</f>
        <v>2.5</v>
      </c>
      <c r="N8" s="6">
        <v>5</v>
      </c>
      <c r="O8" s="6">
        <v>0.5</v>
      </c>
      <c r="P8" s="6">
        <f>(N8+O8)/100</f>
        <v>5.5E-2</v>
      </c>
      <c r="Q8" s="6">
        <f>M8+K8+G8</f>
        <v>4.8600000000000003</v>
      </c>
      <c r="R8" s="6">
        <f>INT(Q8*10)/10+IF(MOD(Q8*10,1)&gt;=0.5,0.1,0)</f>
        <v>4.8999999999999995</v>
      </c>
      <c r="S8" s="1" t="str">
        <f>IF(Q8&lt;3,3-Q8,"No aplica")</f>
        <v>No aplica</v>
      </c>
      <c r="T8" s="1">
        <f>R8+P8</f>
        <v>4.9549999999999992</v>
      </c>
    </row>
    <row r="9" spans="1:20">
      <c r="A9" s="27" t="s">
        <v>26</v>
      </c>
      <c r="B9" s="28"/>
      <c r="C9" s="27" t="s">
        <v>27</v>
      </c>
      <c r="D9" s="28"/>
      <c r="E9" s="5">
        <v>5</v>
      </c>
      <c r="F9" s="5">
        <v>5</v>
      </c>
      <c r="G9" s="1">
        <f t="shared" ref="G9:G52" si="0">AVERAGE(E9:F9)*0.1</f>
        <v>0.5</v>
      </c>
      <c r="H9" s="1">
        <v>4.3</v>
      </c>
      <c r="I9" s="1">
        <v>5</v>
      </c>
      <c r="J9" s="5">
        <f t="shared" ref="J9:J52" si="1">AVERAGE(I9,E9:F9)</f>
        <v>5</v>
      </c>
      <c r="K9" s="5">
        <f t="shared" ref="K9:K52" si="2">AVERAGE(H9,J9)*0.4</f>
        <v>1.8600000000000003</v>
      </c>
      <c r="L9" s="1">
        <v>4.4000000000000004</v>
      </c>
      <c r="M9" s="6">
        <f>L9*0.5</f>
        <v>2.2000000000000002</v>
      </c>
      <c r="N9" s="6">
        <v>7</v>
      </c>
      <c r="O9" s="6">
        <v>0.5</v>
      </c>
      <c r="P9" s="6">
        <f t="shared" ref="P9:P52" si="3">(N9+O9)/100</f>
        <v>7.4999999999999997E-2</v>
      </c>
      <c r="Q9" s="6">
        <f>M9+K9+G9</f>
        <v>4.5600000000000005</v>
      </c>
      <c r="R9" s="6">
        <f>INT(Q9*10)/10+IF(MOD(Q9*10,1)&gt;=0.5,0.1,0)</f>
        <v>4.5999999999999996</v>
      </c>
      <c r="S9" s="1" t="str">
        <f>IF(Q9&lt;3,3-Q9,"No aplica")</f>
        <v>No aplica</v>
      </c>
      <c r="T9" s="1">
        <f t="shared" ref="T9:T52" si="4">R9+P9</f>
        <v>4.6749999999999998</v>
      </c>
    </row>
    <row r="10" spans="1:20">
      <c r="A10" s="27" t="s">
        <v>28</v>
      </c>
      <c r="B10" s="28"/>
      <c r="C10" s="27" t="s">
        <v>29</v>
      </c>
      <c r="D10" s="28"/>
      <c r="E10" s="5">
        <v>5</v>
      </c>
      <c r="F10" s="5">
        <v>4.5</v>
      </c>
      <c r="G10" s="1">
        <f t="shared" si="0"/>
        <v>0.47500000000000003</v>
      </c>
      <c r="H10" s="1">
        <v>4.3</v>
      </c>
      <c r="I10" s="1">
        <v>0</v>
      </c>
      <c r="J10" s="5">
        <f t="shared" si="1"/>
        <v>3.1666666666666665</v>
      </c>
      <c r="K10" s="5">
        <f t="shared" si="2"/>
        <v>1.4933333333333334</v>
      </c>
      <c r="L10" s="1">
        <v>3.5</v>
      </c>
      <c r="M10" s="6">
        <f>L10*0.5</f>
        <v>1.75</v>
      </c>
      <c r="N10" s="6">
        <v>5</v>
      </c>
      <c r="O10" s="6">
        <v>2</v>
      </c>
      <c r="P10" s="6">
        <f t="shared" si="3"/>
        <v>7.0000000000000007E-2</v>
      </c>
      <c r="Q10" s="6">
        <f>M10+K10+G10</f>
        <v>3.7183333333333333</v>
      </c>
      <c r="R10" s="6">
        <f>INT(Q10*10)/10+IF(MOD(Q10*10,1)&gt;=0.5,0.1,0)</f>
        <v>3.7</v>
      </c>
      <c r="S10" s="1" t="str">
        <f>IF(Q10&lt;3,3-Q10,"No aplica")</f>
        <v>No aplica</v>
      </c>
      <c r="T10" s="1">
        <f t="shared" si="4"/>
        <v>3.77</v>
      </c>
    </row>
    <row r="11" spans="1:20">
      <c r="A11" s="27" t="s">
        <v>30</v>
      </c>
      <c r="B11" s="28"/>
      <c r="C11" s="27" t="s">
        <v>31</v>
      </c>
      <c r="D11" s="28"/>
      <c r="E11" s="5">
        <v>5</v>
      </c>
      <c r="F11" s="5">
        <v>5</v>
      </c>
      <c r="G11" s="1">
        <f t="shared" si="0"/>
        <v>0.5</v>
      </c>
      <c r="H11" s="1">
        <v>4.3</v>
      </c>
      <c r="I11" s="1">
        <v>5</v>
      </c>
      <c r="J11" s="5">
        <f t="shared" si="1"/>
        <v>5</v>
      </c>
      <c r="K11" s="5">
        <f t="shared" si="2"/>
        <v>1.8600000000000003</v>
      </c>
      <c r="L11" s="1">
        <v>5</v>
      </c>
      <c r="M11" s="6">
        <f>L11*0.5</f>
        <v>2.5</v>
      </c>
      <c r="N11" s="6">
        <v>5</v>
      </c>
      <c r="O11" s="6">
        <v>0.5</v>
      </c>
      <c r="P11" s="6">
        <f t="shared" si="3"/>
        <v>5.5E-2</v>
      </c>
      <c r="Q11" s="6">
        <f>M11+K11+G11</f>
        <v>4.8600000000000003</v>
      </c>
      <c r="R11" s="6">
        <f>INT(Q11*10)/10+IF(MOD(Q11*10,1)&gt;=0.5,0.1,0)</f>
        <v>4.8999999999999995</v>
      </c>
      <c r="S11" s="1" t="str">
        <f>IF(Q11&lt;3,3-Q11,"No aplica")</f>
        <v>No aplica</v>
      </c>
      <c r="T11" s="1">
        <f t="shared" si="4"/>
        <v>4.9549999999999992</v>
      </c>
    </row>
    <row r="12" spans="1:20">
      <c r="A12" s="27" t="s">
        <v>32</v>
      </c>
      <c r="B12" s="28"/>
      <c r="C12" s="27" t="s">
        <v>33</v>
      </c>
      <c r="D12" s="28"/>
      <c r="E12" s="5">
        <v>5</v>
      </c>
      <c r="F12" s="5">
        <v>5</v>
      </c>
      <c r="G12" s="1">
        <f t="shared" si="0"/>
        <v>0.5</v>
      </c>
      <c r="H12" s="1">
        <v>5</v>
      </c>
      <c r="I12" s="1">
        <v>5</v>
      </c>
      <c r="J12" s="5">
        <f t="shared" si="1"/>
        <v>5</v>
      </c>
      <c r="K12" s="5">
        <f t="shared" si="2"/>
        <v>2</v>
      </c>
      <c r="L12" s="1">
        <v>5</v>
      </c>
      <c r="M12" s="6">
        <f>L12*0.5</f>
        <v>2.5</v>
      </c>
      <c r="N12" s="6">
        <v>7</v>
      </c>
      <c r="O12" s="6">
        <v>0.5</v>
      </c>
      <c r="P12" s="6">
        <f t="shared" si="3"/>
        <v>7.4999999999999997E-2</v>
      </c>
      <c r="Q12" s="6">
        <f>M12+K12+G12</f>
        <v>5</v>
      </c>
      <c r="R12" s="6">
        <f>INT(Q12*10)/10+IF(MOD(Q12*10,1)&gt;=0.5,0.1,0)</f>
        <v>5</v>
      </c>
      <c r="S12" s="1" t="str">
        <f>IF(Q12&lt;3,3-Q12,"No aplica")</f>
        <v>No aplica</v>
      </c>
      <c r="T12" s="1">
        <f t="shared" si="4"/>
        <v>5.0750000000000002</v>
      </c>
    </row>
    <row r="13" spans="1:20">
      <c r="A13" s="27" t="s">
        <v>34</v>
      </c>
      <c r="B13" s="28"/>
      <c r="C13" s="27" t="s">
        <v>35</v>
      </c>
      <c r="D13" s="28"/>
      <c r="E13" s="5">
        <v>5</v>
      </c>
      <c r="F13" s="5">
        <v>5</v>
      </c>
      <c r="G13" s="1">
        <f t="shared" si="0"/>
        <v>0.5</v>
      </c>
      <c r="H13" s="1">
        <v>4.3</v>
      </c>
      <c r="I13" s="1">
        <v>5</v>
      </c>
      <c r="J13" s="5">
        <f t="shared" si="1"/>
        <v>5</v>
      </c>
      <c r="K13" s="5">
        <f t="shared" si="2"/>
        <v>1.8600000000000003</v>
      </c>
      <c r="L13" s="1">
        <v>4.9000000000000004</v>
      </c>
      <c r="M13" s="6">
        <f>L13*0.5</f>
        <v>2.4500000000000002</v>
      </c>
      <c r="N13" s="6">
        <v>7</v>
      </c>
      <c r="O13" s="6">
        <v>3</v>
      </c>
      <c r="P13" s="6">
        <f t="shared" si="3"/>
        <v>0.1</v>
      </c>
      <c r="Q13" s="6">
        <f>M13+K13+G13</f>
        <v>4.8100000000000005</v>
      </c>
      <c r="R13" s="6">
        <f>INT(Q13*10)/10+IF(MOD(Q13*10,1)&gt;=0.5,0.1,0)</f>
        <v>4.8</v>
      </c>
      <c r="S13" s="1" t="str">
        <f>IF(Q13&lt;3,3-Q13,"No aplica")</f>
        <v>No aplica</v>
      </c>
      <c r="T13" s="1">
        <f t="shared" si="4"/>
        <v>4.8999999999999995</v>
      </c>
    </row>
    <row r="14" spans="1:20">
      <c r="A14" s="32" t="s">
        <v>36</v>
      </c>
      <c r="B14" s="33"/>
      <c r="C14" s="32" t="s">
        <v>37</v>
      </c>
      <c r="D14" s="33"/>
      <c r="E14" s="5">
        <v>3.9</v>
      </c>
      <c r="F14" s="5">
        <v>4</v>
      </c>
      <c r="G14" s="1">
        <f t="shared" si="0"/>
        <v>0.39500000000000002</v>
      </c>
      <c r="H14" s="1">
        <v>4.5999999999999996</v>
      </c>
      <c r="I14" s="1">
        <v>5</v>
      </c>
      <c r="J14" s="5">
        <f t="shared" si="1"/>
        <v>4.3</v>
      </c>
      <c r="K14" s="5">
        <f t="shared" si="2"/>
        <v>1.7799999999999998</v>
      </c>
      <c r="L14" s="1">
        <v>2.6</v>
      </c>
      <c r="M14" s="6">
        <f>L14*0.5</f>
        <v>1.3</v>
      </c>
      <c r="N14" s="6">
        <v>7</v>
      </c>
      <c r="O14" s="6">
        <v>2</v>
      </c>
      <c r="P14" s="6">
        <f t="shared" si="3"/>
        <v>0.09</v>
      </c>
      <c r="Q14" s="6">
        <f>M14+K14+G14</f>
        <v>3.4750000000000001</v>
      </c>
      <c r="R14" s="6">
        <f>INT(Q14*10)/10+IF(MOD(Q14*10,1)&gt;=0.5,0.1,0)</f>
        <v>3.5</v>
      </c>
      <c r="S14" s="1" t="str">
        <f>IF(Q14&lt;3,3-Q14,"No aplica")</f>
        <v>No aplica</v>
      </c>
      <c r="T14" s="1">
        <f t="shared" si="4"/>
        <v>3.59</v>
      </c>
    </row>
    <row r="15" spans="1:20">
      <c r="A15" s="32" t="s">
        <v>38</v>
      </c>
      <c r="B15" s="33"/>
      <c r="C15" s="32" t="s">
        <v>39</v>
      </c>
      <c r="D15" s="33"/>
      <c r="E15" s="5">
        <v>5</v>
      </c>
      <c r="F15" s="5">
        <v>5</v>
      </c>
      <c r="G15" s="1">
        <f t="shared" si="0"/>
        <v>0.5</v>
      </c>
      <c r="H15" s="1">
        <v>4.5999999999999996</v>
      </c>
      <c r="I15" s="1">
        <v>4.5</v>
      </c>
      <c r="J15" s="5">
        <f t="shared" si="1"/>
        <v>4.833333333333333</v>
      </c>
      <c r="K15" s="5">
        <f t="shared" si="2"/>
        <v>1.8866666666666667</v>
      </c>
      <c r="L15" s="1">
        <v>5</v>
      </c>
      <c r="M15" s="6">
        <f>L15*0.5</f>
        <v>2.5</v>
      </c>
      <c r="N15" s="6">
        <v>4</v>
      </c>
      <c r="O15" s="6">
        <v>0.5</v>
      </c>
      <c r="P15" s="6">
        <f t="shared" si="3"/>
        <v>4.4999999999999998E-2</v>
      </c>
      <c r="Q15" s="6">
        <f>M15+K15+G15</f>
        <v>4.8866666666666667</v>
      </c>
      <c r="R15" s="6">
        <f>INT(Q15*10)/10+IF(MOD(Q15*10,1)&gt;=0.5,0.1,0)</f>
        <v>4.8999999999999995</v>
      </c>
      <c r="S15" s="1" t="str">
        <f>IF(Q15&lt;3,3-Q15,"No aplica")</f>
        <v>No aplica</v>
      </c>
      <c r="T15" s="1">
        <f t="shared" si="4"/>
        <v>4.9449999999999994</v>
      </c>
    </row>
    <row r="16" spans="1:20">
      <c r="A16" s="32" t="s">
        <v>40</v>
      </c>
      <c r="B16" s="33"/>
      <c r="C16" s="32" t="s">
        <v>41</v>
      </c>
      <c r="D16" s="33"/>
      <c r="E16" s="5">
        <v>5</v>
      </c>
      <c r="F16" s="5">
        <v>4.5</v>
      </c>
      <c r="G16" s="1">
        <f t="shared" si="0"/>
        <v>0.47500000000000003</v>
      </c>
      <c r="H16" s="1">
        <v>4.3</v>
      </c>
      <c r="I16" s="1">
        <v>0</v>
      </c>
      <c r="J16" s="5">
        <f t="shared" si="1"/>
        <v>3.1666666666666665</v>
      </c>
      <c r="K16" s="5">
        <f t="shared" si="2"/>
        <v>1.4933333333333334</v>
      </c>
      <c r="L16" s="1">
        <v>4.5</v>
      </c>
      <c r="M16" s="6">
        <f>L16*0.5</f>
        <v>2.25</v>
      </c>
      <c r="N16" s="6"/>
      <c r="O16" s="6">
        <v>0.5</v>
      </c>
      <c r="P16" s="6">
        <f t="shared" si="3"/>
        <v>5.0000000000000001E-3</v>
      </c>
      <c r="Q16" s="6">
        <f>M16+K16+G16</f>
        <v>4.2183333333333328</v>
      </c>
      <c r="R16" s="6">
        <f>INT(Q16*10)/10+IF(MOD(Q16*10,1)&gt;=0.5,0.1,0)</f>
        <v>4.2</v>
      </c>
      <c r="S16" s="1" t="str">
        <f>IF(Q16&lt;3,3-Q16,"No aplica")</f>
        <v>No aplica</v>
      </c>
      <c r="T16" s="1">
        <f t="shared" si="4"/>
        <v>4.2050000000000001</v>
      </c>
    </row>
    <row r="17" spans="1:20">
      <c r="A17" s="27" t="s">
        <v>42</v>
      </c>
      <c r="B17" s="28"/>
      <c r="C17" s="27" t="s">
        <v>43</v>
      </c>
      <c r="D17" s="28"/>
      <c r="E17" s="5">
        <v>5</v>
      </c>
      <c r="F17" s="5">
        <v>5</v>
      </c>
      <c r="G17" s="1">
        <f t="shared" si="0"/>
        <v>0.5</v>
      </c>
      <c r="H17" s="1">
        <v>3</v>
      </c>
      <c r="I17" s="1">
        <v>5</v>
      </c>
      <c r="J17" s="5">
        <f t="shared" si="1"/>
        <v>5</v>
      </c>
      <c r="K17" s="5">
        <f t="shared" si="2"/>
        <v>1.6</v>
      </c>
      <c r="L17" s="1">
        <v>3.25</v>
      </c>
      <c r="M17" s="6">
        <f>L17*0.5</f>
        <v>1.625</v>
      </c>
      <c r="N17" s="6">
        <v>6</v>
      </c>
      <c r="O17" s="6">
        <v>0.5</v>
      </c>
      <c r="P17" s="6">
        <f t="shared" si="3"/>
        <v>6.5000000000000002E-2</v>
      </c>
      <c r="Q17" s="6">
        <f>M17+K17+G17</f>
        <v>3.7250000000000001</v>
      </c>
      <c r="R17" s="6">
        <f>INT(Q17*10)/10+IF(MOD(Q17*10,1)&gt;=0.5,0.1,0)</f>
        <v>3.7</v>
      </c>
      <c r="S17" s="1" t="str">
        <f>IF(Q17&lt;3,3-Q17,"No aplica")</f>
        <v>No aplica</v>
      </c>
      <c r="T17" s="1">
        <f t="shared" si="4"/>
        <v>3.7650000000000001</v>
      </c>
    </row>
    <row r="18" spans="1:20">
      <c r="A18" s="27" t="s">
        <v>44</v>
      </c>
      <c r="B18" s="28"/>
      <c r="C18" s="27" t="s">
        <v>45</v>
      </c>
      <c r="D18" s="28"/>
      <c r="E18" s="5">
        <v>5</v>
      </c>
      <c r="F18" s="5">
        <v>5</v>
      </c>
      <c r="G18" s="1">
        <f t="shared" si="0"/>
        <v>0.5</v>
      </c>
      <c r="H18" s="1">
        <v>4.5999999999999996</v>
      </c>
      <c r="I18" s="1">
        <v>4.5</v>
      </c>
      <c r="J18" s="5">
        <f t="shared" si="1"/>
        <v>4.833333333333333</v>
      </c>
      <c r="K18" s="5">
        <f t="shared" si="2"/>
        <v>1.8866666666666667</v>
      </c>
      <c r="L18" s="1">
        <v>5</v>
      </c>
      <c r="M18" s="6">
        <f>L18*0.5</f>
        <v>2.5</v>
      </c>
      <c r="N18" s="6">
        <v>6</v>
      </c>
      <c r="O18" s="6">
        <v>0.5</v>
      </c>
      <c r="P18" s="6">
        <f t="shared" si="3"/>
        <v>6.5000000000000002E-2</v>
      </c>
      <c r="Q18" s="6">
        <f>M18+K18+G18</f>
        <v>4.8866666666666667</v>
      </c>
      <c r="R18" s="6">
        <f>INT(Q18*10)/10+IF(MOD(Q18*10,1)&gt;=0.5,0.1,0)</f>
        <v>4.8999999999999995</v>
      </c>
      <c r="S18" s="1" t="str">
        <f>IF(Q18&lt;3,3-Q18,"No aplica")</f>
        <v>No aplica</v>
      </c>
      <c r="T18" s="1">
        <f t="shared" si="4"/>
        <v>4.9649999999999999</v>
      </c>
    </row>
    <row r="19" spans="1:20">
      <c r="A19" s="27" t="s">
        <v>46</v>
      </c>
      <c r="B19" s="28"/>
      <c r="C19" s="27" t="s">
        <v>47</v>
      </c>
      <c r="D19" s="28"/>
      <c r="E19" s="5">
        <v>5</v>
      </c>
      <c r="F19" s="5">
        <v>4.5</v>
      </c>
      <c r="G19" s="1">
        <f t="shared" si="0"/>
        <v>0.47500000000000003</v>
      </c>
      <c r="H19" s="1">
        <v>5</v>
      </c>
      <c r="I19" s="1">
        <v>5</v>
      </c>
      <c r="J19" s="5">
        <f t="shared" si="1"/>
        <v>4.833333333333333</v>
      </c>
      <c r="K19" s="5">
        <f t="shared" si="2"/>
        <v>1.9666666666666666</v>
      </c>
      <c r="L19" s="1">
        <v>3.1</v>
      </c>
      <c r="M19" s="6">
        <f>L19*0.5</f>
        <v>1.55</v>
      </c>
      <c r="N19" s="6"/>
      <c r="O19" s="6">
        <v>0.5</v>
      </c>
      <c r="P19" s="6">
        <f t="shared" si="3"/>
        <v>5.0000000000000001E-3</v>
      </c>
      <c r="Q19" s="6">
        <f>M19+K19+G19</f>
        <v>3.9916666666666667</v>
      </c>
      <c r="R19" s="6">
        <f>INT(Q19*10)/10+IF(MOD(Q19*10,1)&gt;=0.5,0.1,0)</f>
        <v>4</v>
      </c>
      <c r="S19" s="1" t="str">
        <f>IF(Q19&lt;3,3-Q19,"No aplica")</f>
        <v>No aplica</v>
      </c>
      <c r="T19" s="1">
        <f t="shared" si="4"/>
        <v>4.0049999999999999</v>
      </c>
    </row>
    <row r="20" spans="1:20">
      <c r="A20" s="27" t="s">
        <v>48</v>
      </c>
      <c r="B20" s="28"/>
      <c r="C20" s="27" t="s">
        <v>49</v>
      </c>
      <c r="D20" s="28"/>
      <c r="E20" s="5">
        <v>3.9</v>
      </c>
      <c r="F20" s="5">
        <v>4</v>
      </c>
      <c r="G20" s="1">
        <f t="shared" si="0"/>
        <v>0.39500000000000002</v>
      </c>
      <c r="H20" s="1">
        <v>4.5999999999999996</v>
      </c>
      <c r="I20" s="1">
        <v>5</v>
      </c>
      <c r="J20" s="5">
        <f t="shared" si="1"/>
        <v>4.3</v>
      </c>
      <c r="K20" s="5">
        <f t="shared" si="2"/>
        <v>1.7799999999999998</v>
      </c>
      <c r="L20" s="1">
        <v>2.6</v>
      </c>
      <c r="M20" s="6">
        <f>L20*0.5</f>
        <v>1.3</v>
      </c>
      <c r="N20" s="6">
        <v>6</v>
      </c>
      <c r="O20" s="6">
        <v>2</v>
      </c>
      <c r="P20" s="6">
        <f t="shared" si="3"/>
        <v>0.08</v>
      </c>
      <c r="Q20" s="6">
        <f>M20+K20+G20</f>
        <v>3.4750000000000001</v>
      </c>
      <c r="R20" s="6">
        <f>INT(Q20*10)/10+IF(MOD(Q20*10,1)&gt;=0.5,0.1,0)</f>
        <v>3.5</v>
      </c>
      <c r="S20" s="1" t="str">
        <f>IF(Q20&lt;3,3-Q20,"No aplica")</f>
        <v>No aplica</v>
      </c>
      <c r="T20" s="1">
        <f t="shared" si="4"/>
        <v>3.58</v>
      </c>
    </row>
    <row r="21" spans="1:20">
      <c r="A21" s="27" t="s">
        <v>50</v>
      </c>
      <c r="B21" s="28"/>
      <c r="C21" s="27" t="s">
        <v>51</v>
      </c>
      <c r="D21" s="28"/>
      <c r="E21" s="5">
        <v>5</v>
      </c>
      <c r="F21" s="5">
        <v>4</v>
      </c>
      <c r="G21" s="1">
        <f t="shared" si="0"/>
        <v>0.45</v>
      </c>
      <c r="H21" s="1">
        <v>4.9000000000000004</v>
      </c>
      <c r="I21" s="1">
        <v>5</v>
      </c>
      <c r="J21" s="5">
        <f t="shared" si="1"/>
        <v>4.666666666666667</v>
      </c>
      <c r="K21" s="5">
        <f t="shared" si="2"/>
        <v>1.9133333333333333</v>
      </c>
      <c r="L21" s="1">
        <v>3.8</v>
      </c>
      <c r="M21" s="6">
        <f>L21*0.5</f>
        <v>1.9</v>
      </c>
      <c r="N21" s="6">
        <v>4</v>
      </c>
      <c r="O21" s="6">
        <v>0.5</v>
      </c>
      <c r="P21" s="6">
        <f t="shared" si="3"/>
        <v>4.4999999999999998E-2</v>
      </c>
      <c r="Q21" s="6">
        <f>M21+K21+G21</f>
        <v>4.2633333333333336</v>
      </c>
      <c r="R21" s="6">
        <f>INT(Q21*10)/10+IF(MOD(Q21*10,1)&gt;=0.5,0.1,0)</f>
        <v>4.3</v>
      </c>
      <c r="S21" s="1" t="str">
        <f>IF(Q21&lt;3,3-Q21,"No aplica")</f>
        <v>No aplica</v>
      </c>
      <c r="T21" s="1">
        <f t="shared" si="4"/>
        <v>4.3449999999999998</v>
      </c>
    </row>
    <row r="22" spans="1:20">
      <c r="A22" s="27" t="s">
        <v>52</v>
      </c>
      <c r="B22" s="28"/>
      <c r="C22" s="27" t="s">
        <v>53</v>
      </c>
      <c r="D22" s="28"/>
      <c r="E22" s="5">
        <v>5</v>
      </c>
      <c r="F22" s="5">
        <v>4.5</v>
      </c>
      <c r="G22" s="1">
        <f t="shared" si="0"/>
        <v>0.47500000000000003</v>
      </c>
      <c r="H22" s="1">
        <v>5</v>
      </c>
      <c r="I22" s="1">
        <v>5</v>
      </c>
      <c r="J22" s="5">
        <f t="shared" si="1"/>
        <v>4.833333333333333</v>
      </c>
      <c r="K22" s="5">
        <f t="shared" si="2"/>
        <v>1.9666666666666666</v>
      </c>
      <c r="L22" s="1">
        <v>3.1</v>
      </c>
      <c r="M22" s="6">
        <f>L22*0.5</f>
        <v>1.55</v>
      </c>
      <c r="N22" s="6"/>
      <c r="O22" s="6">
        <v>0.5</v>
      </c>
      <c r="P22" s="6">
        <f t="shared" si="3"/>
        <v>5.0000000000000001E-3</v>
      </c>
      <c r="Q22" s="6">
        <f>M22+K22+G22</f>
        <v>3.9916666666666667</v>
      </c>
      <c r="R22" s="6">
        <f>INT(Q22*10)/10+IF(MOD(Q22*10,1)&gt;=0.5,0.1,0)</f>
        <v>4</v>
      </c>
      <c r="S22" s="1" t="str">
        <f>IF(Q22&lt;3,3-Q22,"No aplica")</f>
        <v>No aplica</v>
      </c>
      <c r="T22" s="1">
        <f t="shared" si="4"/>
        <v>4.0049999999999999</v>
      </c>
    </row>
    <row r="23" spans="1:20">
      <c r="A23" s="27" t="s">
        <v>54</v>
      </c>
      <c r="B23" s="28"/>
      <c r="C23" s="27" t="s">
        <v>55</v>
      </c>
      <c r="D23" s="28"/>
      <c r="E23" s="5">
        <v>5</v>
      </c>
      <c r="F23" s="5">
        <v>4</v>
      </c>
      <c r="G23" s="1">
        <f t="shared" si="0"/>
        <v>0.45</v>
      </c>
      <c r="H23" s="1">
        <v>5</v>
      </c>
      <c r="I23" s="1">
        <v>5</v>
      </c>
      <c r="J23" s="5">
        <f t="shared" si="1"/>
        <v>4.666666666666667</v>
      </c>
      <c r="K23" s="5">
        <f t="shared" si="2"/>
        <v>1.9333333333333336</v>
      </c>
      <c r="L23" s="1">
        <v>4.2</v>
      </c>
      <c r="M23" s="6">
        <f>L23*0.5</f>
        <v>2.1</v>
      </c>
      <c r="N23" s="6">
        <v>7</v>
      </c>
      <c r="O23" s="6">
        <v>3</v>
      </c>
      <c r="P23" s="6">
        <f t="shared" si="3"/>
        <v>0.1</v>
      </c>
      <c r="Q23" s="6">
        <f>M23+K23+G23</f>
        <v>4.4833333333333334</v>
      </c>
      <c r="R23" s="6">
        <f>INT(Q23*10)/10+IF(MOD(Q23*10,1)&gt;=0.5,0.1,0)</f>
        <v>4.5</v>
      </c>
      <c r="S23" s="1" t="str">
        <f>IF(Q23&lt;3,3-Q23,"No aplica")</f>
        <v>No aplica</v>
      </c>
      <c r="T23" s="1">
        <f t="shared" si="4"/>
        <v>4.5999999999999996</v>
      </c>
    </row>
    <row r="24" spans="1:20">
      <c r="A24" s="27" t="s">
        <v>56</v>
      </c>
      <c r="B24" s="28"/>
      <c r="C24" s="27" t="s">
        <v>57</v>
      </c>
      <c r="D24" s="28"/>
      <c r="E24" s="5">
        <v>5</v>
      </c>
      <c r="F24" s="5">
        <v>5</v>
      </c>
      <c r="G24" s="1">
        <f t="shared" si="0"/>
        <v>0.5</v>
      </c>
      <c r="H24" s="1">
        <v>4</v>
      </c>
      <c r="I24" s="1">
        <v>5</v>
      </c>
      <c r="J24" s="5">
        <f t="shared" si="1"/>
        <v>5</v>
      </c>
      <c r="K24" s="5">
        <f t="shared" si="2"/>
        <v>1.8</v>
      </c>
      <c r="L24" s="1">
        <v>5</v>
      </c>
      <c r="M24" s="6">
        <f>L24*0.5</f>
        <v>2.5</v>
      </c>
      <c r="N24" s="6"/>
      <c r="O24" s="6">
        <v>0.5</v>
      </c>
      <c r="P24" s="6">
        <f t="shared" si="3"/>
        <v>5.0000000000000001E-3</v>
      </c>
      <c r="Q24" s="6">
        <f>M24+K24+G24</f>
        <v>4.8</v>
      </c>
      <c r="R24" s="6">
        <f>INT(Q24*10)/10+IF(MOD(Q24*10,1)&gt;=0.5,0.1,0)</f>
        <v>4.8</v>
      </c>
      <c r="S24" s="1" t="str">
        <f>IF(Q24&lt;3,3-Q24,"No aplica")</f>
        <v>No aplica</v>
      </c>
      <c r="T24" s="1">
        <f t="shared" si="4"/>
        <v>4.8049999999999997</v>
      </c>
    </row>
    <row r="25" spans="1:20">
      <c r="A25" s="27" t="s">
        <v>58</v>
      </c>
      <c r="B25" s="28"/>
      <c r="C25" s="27" t="s">
        <v>59</v>
      </c>
      <c r="D25" s="28"/>
      <c r="E25" s="5">
        <v>5</v>
      </c>
      <c r="F25" s="5">
        <v>4.5</v>
      </c>
      <c r="G25" s="1">
        <f t="shared" si="0"/>
        <v>0.47500000000000003</v>
      </c>
      <c r="H25" s="1">
        <v>4.5</v>
      </c>
      <c r="I25" s="1">
        <v>5</v>
      </c>
      <c r="J25" s="5">
        <f t="shared" si="1"/>
        <v>4.833333333333333</v>
      </c>
      <c r="K25" s="5">
        <f t="shared" si="2"/>
        <v>1.8666666666666665</v>
      </c>
      <c r="L25" s="1">
        <v>4.9000000000000004</v>
      </c>
      <c r="M25" s="6">
        <f>L25*0.5</f>
        <v>2.4500000000000002</v>
      </c>
      <c r="N25" s="6"/>
      <c r="O25" s="6">
        <v>3</v>
      </c>
      <c r="P25" s="6">
        <f t="shared" si="3"/>
        <v>0.03</v>
      </c>
      <c r="Q25" s="6">
        <f>M25+K25+G25</f>
        <v>4.7916666666666661</v>
      </c>
      <c r="R25" s="6">
        <f>INT(Q25*10)/10+IF(MOD(Q25*10,1)&gt;=0.5,0.1,0)</f>
        <v>4.8</v>
      </c>
      <c r="S25" s="1" t="str">
        <f>IF(Q25&lt;3,3-Q25,"No aplica")</f>
        <v>No aplica</v>
      </c>
      <c r="T25" s="1">
        <f t="shared" si="4"/>
        <v>4.83</v>
      </c>
    </row>
    <row r="26" spans="1:20">
      <c r="A26" s="27" t="s">
        <v>60</v>
      </c>
      <c r="B26" s="28"/>
      <c r="C26" s="27" t="s">
        <v>61</v>
      </c>
      <c r="D26" s="28"/>
      <c r="E26" s="5">
        <v>5</v>
      </c>
      <c r="F26" s="5">
        <v>5</v>
      </c>
      <c r="G26" s="1">
        <f t="shared" si="0"/>
        <v>0.5</v>
      </c>
      <c r="H26" s="1">
        <v>5</v>
      </c>
      <c r="I26" s="1">
        <v>5</v>
      </c>
      <c r="J26" s="5">
        <f t="shared" si="1"/>
        <v>5</v>
      </c>
      <c r="K26" s="5">
        <f t="shared" si="2"/>
        <v>2</v>
      </c>
      <c r="L26" s="1">
        <v>4.3</v>
      </c>
      <c r="M26" s="6">
        <f>L26*0.5</f>
        <v>2.15</v>
      </c>
      <c r="N26" s="6">
        <v>7</v>
      </c>
      <c r="O26" s="6">
        <v>2</v>
      </c>
      <c r="P26" s="6">
        <f t="shared" si="3"/>
        <v>0.09</v>
      </c>
      <c r="Q26" s="6">
        <f>M26+K26+G26</f>
        <v>4.6500000000000004</v>
      </c>
      <c r="R26" s="6">
        <f>INT(Q26*10)/10+IF(MOD(Q26*10,1)&gt;=0.5,0.1,0)</f>
        <v>4.6999999999999993</v>
      </c>
      <c r="S26" s="1" t="str">
        <f>IF(Q26&lt;3,3-Q26,"No aplica")</f>
        <v>No aplica</v>
      </c>
      <c r="T26" s="1">
        <f t="shared" si="4"/>
        <v>4.7899999999999991</v>
      </c>
    </row>
    <row r="27" spans="1:20">
      <c r="A27" s="27" t="s">
        <v>62</v>
      </c>
      <c r="B27" s="28"/>
      <c r="C27" s="27" t="s">
        <v>63</v>
      </c>
      <c r="D27" s="28"/>
      <c r="E27" s="5">
        <v>5</v>
      </c>
      <c r="F27" s="5">
        <v>5</v>
      </c>
      <c r="G27" s="1">
        <f t="shared" si="0"/>
        <v>0.5</v>
      </c>
      <c r="H27" s="1">
        <v>5</v>
      </c>
      <c r="I27" s="1">
        <v>5</v>
      </c>
      <c r="J27" s="5">
        <f t="shared" si="1"/>
        <v>5</v>
      </c>
      <c r="K27" s="5">
        <f t="shared" si="2"/>
        <v>2</v>
      </c>
      <c r="L27" s="1">
        <v>3.7</v>
      </c>
      <c r="M27" s="6">
        <f>L27*0.5</f>
        <v>1.85</v>
      </c>
      <c r="N27" s="6">
        <v>7</v>
      </c>
      <c r="O27" s="6">
        <v>0.5</v>
      </c>
      <c r="P27" s="6">
        <f t="shared" si="3"/>
        <v>7.4999999999999997E-2</v>
      </c>
      <c r="Q27" s="6">
        <f>M27+K27+G27</f>
        <v>4.3499999999999996</v>
      </c>
      <c r="R27" s="6">
        <f>INT(Q27*10)/10+IF(MOD(Q27*10,1)&gt;=0.5,0.1,0)</f>
        <v>4.3999999999999995</v>
      </c>
      <c r="S27" s="1" t="str">
        <f>IF(Q27&lt;3,3-Q27,"No aplica")</f>
        <v>No aplica</v>
      </c>
      <c r="T27" s="1">
        <f t="shared" si="4"/>
        <v>4.4749999999999996</v>
      </c>
    </row>
    <row r="28" spans="1:20">
      <c r="A28" s="27" t="s">
        <v>64</v>
      </c>
      <c r="B28" s="28"/>
      <c r="C28" s="27" t="s">
        <v>65</v>
      </c>
      <c r="D28" s="28"/>
      <c r="E28" s="5">
        <v>5</v>
      </c>
      <c r="F28" s="5">
        <v>5</v>
      </c>
      <c r="G28" s="1">
        <f t="shared" si="0"/>
        <v>0.5</v>
      </c>
      <c r="H28" s="1">
        <v>3</v>
      </c>
      <c r="I28" s="1">
        <v>5</v>
      </c>
      <c r="J28" s="5">
        <f t="shared" si="1"/>
        <v>5</v>
      </c>
      <c r="K28" s="5">
        <f t="shared" si="2"/>
        <v>1.6</v>
      </c>
      <c r="L28" s="1">
        <v>3.25</v>
      </c>
      <c r="M28" s="6">
        <f>L28*0.5</f>
        <v>1.625</v>
      </c>
      <c r="N28" s="6">
        <v>4</v>
      </c>
      <c r="O28" s="6">
        <v>0.5</v>
      </c>
      <c r="P28" s="6">
        <f t="shared" si="3"/>
        <v>4.4999999999999998E-2</v>
      </c>
      <c r="Q28" s="6">
        <f>M28+K28+G28</f>
        <v>3.7250000000000001</v>
      </c>
      <c r="R28" s="6">
        <f>INT(Q28*10)/10+IF(MOD(Q28*10,1)&gt;=0.5,0.1,0)</f>
        <v>3.7</v>
      </c>
      <c r="S28" s="1" t="str">
        <f>IF(Q28&lt;3,3-Q28,"No aplica")</f>
        <v>No aplica</v>
      </c>
      <c r="T28" s="1">
        <f t="shared" si="4"/>
        <v>3.7450000000000001</v>
      </c>
    </row>
    <row r="29" spans="1:20">
      <c r="A29" s="27" t="s">
        <v>66</v>
      </c>
      <c r="B29" s="28"/>
      <c r="C29" s="27" t="s">
        <v>67</v>
      </c>
      <c r="D29" s="28"/>
      <c r="E29" s="5">
        <v>3.9</v>
      </c>
      <c r="F29" s="5">
        <v>5</v>
      </c>
      <c r="G29" s="1">
        <f t="shared" si="0"/>
        <v>0.44500000000000006</v>
      </c>
      <c r="H29" s="1">
        <v>4.5</v>
      </c>
      <c r="I29" s="1">
        <v>5</v>
      </c>
      <c r="J29" s="5">
        <f t="shared" si="1"/>
        <v>4.6333333333333337</v>
      </c>
      <c r="K29" s="5">
        <f t="shared" si="2"/>
        <v>1.8266666666666667</v>
      </c>
      <c r="L29" s="1">
        <v>4.4000000000000004</v>
      </c>
      <c r="M29" s="6">
        <f>L29*0.5</f>
        <v>2.2000000000000002</v>
      </c>
      <c r="N29" s="6">
        <v>7</v>
      </c>
      <c r="O29" s="6">
        <v>1</v>
      </c>
      <c r="P29" s="6">
        <f t="shared" si="3"/>
        <v>0.08</v>
      </c>
      <c r="Q29" s="6">
        <f>M29+K29+G29</f>
        <v>4.4716666666666676</v>
      </c>
      <c r="R29" s="6">
        <f>INT(Q29*10)/10+IF(MOD(Q29*10,1)&gt;=0.5,0.1,0)</f>
        <v>4.5</v>
      </c>
      <c r="S29" s="1" t="str">
        <f>IF(Q29&lt;3,3-Q29,"No aplica")</f>
        <v>No aplica</v>
      </c>
      <c r="T29" s="1">
        <f t="shared" si="4"/>
        <v>4.58</v>
      </c>
    </row>
    <row r="30" spans="1:20">
      <c r="A30" s="27" t="s">
        <v>68</v>
      </c>
      <c r="B30" s="28"/>
      <c r="C30" s="27" t="s">
        <v>69</v>
      </c>
      <c r="D30" s="28"/>
      <c r="E30" s="5">
        <v>3.9</v>
      </c>
      <c r="F30" s="5">
        <v>4</v>
      </c>
      <c r="G30" s="1">
        <f t="shared" si="0"/>
        <v>0.39500000000000002</v>
      </c>
      <c r="H30" s="1">
        <v>4.5</v>
      </c>
      <c r="I30" s="1">
        <v>4.5</v>
      </c>
      <c r="J30" s="5">
        <f t="shared" si="1"/>
        <v>4.1333333333333337</v>
      </c>
      <c r="K30" s="5">
        <f t="shared" si="2"/>
        <v>1.7266666666666666</v>
      </c>
      <c r="L30" s="1">
        <v>3.8</v>
      </c>
      <c r="M30" s="6">
        <f>L30*0.5</f>
        <v>1.9</v>
      </c>
      <c r="N30" s="6">
        <v>7</v>
      </c>
      <c r="O30" s="6">
        <v>0.5</v>
      </c>
      <c r="P30" s="6">
        <f t="shared" si="3"/>
        <v>7.4999999999999997E-2</v>
      </c>
      <c r="Q30" s="6">
        <f>M30+K30+G30</f>
        <v>4.0216666666666665</v>
      </c>
      <c r="R30" s="6">
        <f>INT(Q30*10)/10+IF(MOD(Q30*10,1)&gt;=0.5,0.1,0)</f>
        <v>4</v>
      </c>
      <c r="S30" s="1" t="str">
        <f>IF(Q30&lt;3,3-Q30,"No aplica")</f>
        <v>No aplica</v>
      </c>
      <c r="T30" s="1">
        <f t="shared" si="4"/>
        <v>4.0750000000000002</v>
      </c>
    </row>
    <row r="31" spans="1:20">
      <c r="A31" s="27" t="s">
        <v>70</v>
      </c>
      <c r="B31" s="28"/>
      <c r="C31" s="27" t="s">
        <v>71</v>
      </c>
      <c r="D31" s="28"/>
      <c r="E31" s="5">
        <v>5</v>
      </c>
      <c r="F31" s="5">
        <v>4.5</v>
      </c>
      <c r="G31" s="1">
        <f t="shared" si="0"/>
        <v>0.47500000000000003</v>
      </c>
      <c r="H31" s="1">
        <v>4.5</v>
      </c>
      <c r="I31" s="1">
        <v>5</v>
      </c>
      <c r="J31" s="5">
        <f t="shared" si="1"/>
        <v>4.833333333333333</v>
      </c>
      <c r="K31" s="5">
        <f t="shared" si="2"/>
        <v>1.8666666666666665</v>
      </c>
      <c r="L31" s="1">
        <v>4.5</v>
      </c>
      <c r="M31" s="6">
        <f>L31*0.5</f>
        <v>2.25</v>
      </c>
      <c r="N31" s="6">
        <v>6</v>
      </c>
      <c r="O31" s="6">
        <v>0.5</v>
      </c>
      <c r="P31" s="6">
        <f t="shared" si="3"/>
        <v>6.5000000000000002E-2</v>
      </c>
      <c r="Q31" s="6">
        <f>M31+K31+G31</f>
        <v>4.5916666666666659</v>
      </c>
      <c r="R31" s="6">
        <f>INT(Q31*10)/10+IF(MOD(Q31*10,1)&gt;=0.5,0.1,0)</f>
        <v>4.5999999999999996</v>
      </c>
      <c r="S31" s="1" t="str">
        <f>IF(Q31&lt;3,3-Q31,"No aplica")</f>
        <v>No aplica</v>
      </c>
      <c r="T31" s="1">
        <f t="shared" si="4"/>
        <v>4.665</v>
      </c>
    </row>
    <row r="32" spans="1:20">
      <c r="A32" s="27" t="s">
        <v>72</v>
      </c>
      <c r="B32" s="28"/>
      <c r="C32" s="27" t="s">
        <v>73</v>
      </c>
      <c r="D32" s="28"/>
      <c r="E32" s="5">
        <v>3.9</v>
      </c>
      <c r="F32" s="5">
        <v>4</v>
      </c>
      <c r="G32" s="1">
        <f t="shared" si="0"/>
        <v>0.39500000000000002</v>
      </c>
      <c r="H32" s="1">
        <v>4.5</v>
      </c>
      <c r="I32" s="1">
        <v>4.5</v>
      </c>
      <c r="J32" s="5">
        <f t="shared" si="1"/>
        <v>4.1333333333333337</v>
      </c>
      <c r="K32" s="5">
        <f t="shared" si="2"/>
        <v>1.7266666666666666</v>
      </c>
      <c r="L32" s="1">
        <v>3.5</v>
      </c>
      <c r="M32" s="6">
        <f>L32*0.5</f>
        <v>1.75</v>
      </c>
      <c r="N32" s="6">
        <v>6</v>
      </c>
      <c r="O32" s="6">
        <v>1</v>
      </c>
      <c r="P32" s="6">
        <f t="shared" si="3"/>
        <v>7.0000000000000007E-2</v>
      </c>
      <c r="Q32" s="6">
        <f>M32+K32+G32</f>
        <v>3.8716666666666666</v>
      </c>
      <c r="R32" s="6">
        <f>INT(Q32*10)/10+IF(MOD(Q32*10,1)&gt;=0.5,0.1,0)</f>
        <v>3.9</v>
      </c>
      <c r="S32" s="1" t="str">
        <f>IF(Q32&lt;3,3-Q32,"No aplica")</f>
        <v>No aplica</v>
      </c>
      <c r="T32" s="1">
        <f t="shared" si="4"/>
        <v>3.9699999999999998</v>
      </c>
    </row>
    <row r="33" spans="1:20">
      <c r="A33" s="32" t="s">
        <v>74</v>
      </c>
      <c r="B33" s="33"/>
      <c r="C33" s="32" t="s">
        <v>75</v>
      </c>
      <c r="D33" s="33"/>
      <c r="E33" s="5">
        <v>5</v>
      </c>
      <c r="F33" s="5">
        <v>4</v>
      </c>
      <c r="G33" s="1">
        <f t="shared" si="0"/>
        <v>0.45</v>
      </c>
      <c r="H33" s="1">
        <v>5</v>
      </c>
      <c r="I33" s="1">
        <v>5</v>
      </c>
      <c r="J33" s="5">
        <f t="shared" si="1"/>
        <v>4.666666666666667</v>
      </c>
      <c r="K33" s="5">
        <f t="shared" si="2"/>
        <v>1.9333333333333336</v>
      </c>
      <c r="L33" s="1">
        <v>3</v>
      </c>
      <c r="M33" s="6">
        <f>L33*0.5</f>
        <v>1.5</v>
      </c>
      <c r="N33" s="6">
        <v>4</v>
      </c>
      <c r="O33" s="6">
        <v>0.5</v>
      </c>
      <c r="P33" s="6">
        <f t="shared" si="3"/>
        <v>4.4999999999999998E-2</v>
      </c>
      <c r="Q33" s="6">
        <f>M33+K33+G33</f>
        <v>3.8833333333333337</v>
      </c>
      <c r="R33" s="6">
        <f>INT(Q33*10)/10+IF(MOD(Q33*10,1)&gt;=0.5,0.1,0)</f>
        <v>3.9</v>
      </c>
      <c r="S33" s="1" t="str">
        <f>IF(Q33&lt;3,3-Q33,"No aplica")</f>
        <v>No aplica</v>
      </c>
      <c r="T33" s="1">
        <f t="shared" si="4"/>
        <v>3.9449999999999998</v>
      </c>
    </row>
    <row r="34" spans="1:20">
      <c r="A34" s="27" t="s">
        <v>76</v>
      </c>
      <c r="B34" s="28"/>
      <c r="C34" s="27" t="s">
        <v>77</v>
      </c>
      <c r="D34" s="28"/>
      <c r="E34" s="5">
        <v>5</v>
      </c>
      <c r="F34" s="5">
        <v>4.5</v>
      </c>
      <c r="G34" s="1">
        <f t="shared" si="0"/>
        <v>0.47500000000000003</v>
      </c>
      <c r="H34" s="1">
        <v>4.5</v>
      </c>
      <c r="I34" s="1">
        <v>5</v>
      </c>
      <c r="J34" s="5">
        <f t="shared" si="1"/>
        <v>4.833333333333333</v>
      </c>
      <c r="K34" s="5">
        <f t="shared" si="2"/>
        <v>1.8666666666666665</v>
      </c>
      <c r="L34" s="1">
        <v>4.5</v>
      </c>
      <c r="M34" s="6">
        <f>L34*0.5</f>
        <v>2.25</v>
      </c>
      <c r="N34" s="6">
        <v>7</v>
      </c>
      <c r="O34" s="6">
        <v>0.5</v>
      </c>
      <c r="P34" s="6">
        <f t="shared" si="3"/>
        <v>7.4999999999999997E-2</v>
      </c>
      <c r="Q34" s="6">
        <f>M34+K34+G34</f>
        <v>4.5916666666666659</v>
      </c>
      <c r="R34" s="6">
        <f>INT(Q34*10)/10+IF(MOD(Q34*10,1)&gt;=0.5,0.1,0)</f>
        <v>4.5999999999999996</v>
      </c>
      <c r="S34" s="1" t="str">
        <f>IF(Q34&lt;3,3-Q34,"No aplica")</f>
        <v>No aplica</v>
      </c>
      <c r="T34" s="1">
        <f t="shared" si="4"/>
        <v>4.6749999999999998</v>
      </c>
    </row>
    <row r="35" spans="1:20">
      <c r="A35" s="27" t="s">
        <v>78</v>
      </c>
      <c r="B35" s="28"/>
      <c r="C35" s="27" t="s">
        <v>79</v>
      </c>
      <c r="D35" s="28"/>
      <c r="E35" s="5">
        <v>5</v>
      </c>
      <c r="F35" s="5">
        <v>4.5</v>
      </c>
      <c r="G35" s="1">
        <f t="shared" si="0"/>
        <v>0.47500000000000003</v>
      </c>
      <c r="H35" s="1">
        <v>4.5</v>
      </c>
      <c r="I35" s="1">
        <v>5</v>
      </c>
      <c r="J35" s="5">
        <f t="shared" si="1"/>
        <v>4.833333333333333</v>
      </c>
      <c r="K35" s="5">
        <f t="shared" si="2"/>
        <v>1.8666666666666665</v>
      </c>
      <c r="L35" s="1">
        <v>2.2000000000000002</v>
      </c>
      <c r="M35" s="6">
        <f>L35*0.5</f>
        <v>1.1000000000000001</v>
      </c>
      <c r="N35" s="6">
        <v>7</v>
      </c>
      <c r="O35" s="6">
        <v>1</v>
      </c>
      <c r="P35" s="6">
        <f t="shared" si="3"/>
        <v>0.08</v>
      </c>
      <c r="Q35" s="6">
        <f>M35+K35+G35</f>
        <v>3.4416666666666669</v>
      </c>
      <c r="R35" s="6">
        <f>INT(Q35*10)/10+IF(MOD(Q35*10,1)&gt;=0.5,0.1,0)</f>
        <v>3.4</v>
      </c>
      <c r="S35" s="1" t="str">
        <f>IF(Q35&lt;3,3-Q35,"No aplica")</f>
        <v>No aplica</v>
      </c>
      <c r="T35" s="1">
        <f t="shared" si="4"/>
        <v>3.48</v>
      </c>
    </row>
    <row r="36" spans="1:20">
      <c r="A36" s="27" t="s">
        <v>80</v>
      </c>
      <c r="B36" s="28"/>
      <c r="C36" s="27" t="s">
        <v>81</v>
      </c>
      <c r="D36" s="28"/>
      <c r="E36" s="5">
        <v>5</v>
      </c>
      <c r="F36" s="5">
        <v>5</v>
      </c>
      <c r="G36" s="1">
        <f t="shared" si="0"/>
        <v>0.5</v>
      </c>
      <c r="H36" s="1">
        <v>4</v>
      </c>
      <c r="I36" s="1">
        <v>5</v>
      </c>
      <c r="J36" s="5">
        <f t="shared" si="1"/>
        <v>5</v>
      </c>
      <c r="K36" s="5">
        <f t="shared" si="2"/>
        <v>1.8</v>
      </c>
      <c r="L36" s="1">
        <v>3.1</v>
      </c>
      <c r="M36" s="6">
        <f>L36*0.5</f>
        <v>1.55</v>
      </c>
      <c r="N36" s="6">
        <v>7</v>
      </c>
      <c r="O36" s="6">
        <v>0.5</v>
      </c>
      <c r="P36" s="6">
        <f t="shared" si="3"/>
        <v>7.4999999999999997E-2</v>
      </c>
      <c r="Q36" s="6">
        <f>M36+K36+G36</f>
        <v>3.85</v>
      </c>
      <c r="R36" s="6">
        <f>INT(Q36*10)/10+IF(MOD(Q36*10,1)&gt;=0.5,0.1,0)</f>
        <v>3.9</v>
      </c>
      <c r="S36" s="1" t="str">
        <f>IF(Q36&lt;3,3-Q36,"No aplica")</f>
        <v>No aplica</v>
      </c>
      <c r="T36" s="1">
        <f t="shared" si="4"/>
        <v>3.9750000000000001</v>
      </c>
    </row>
    <row r="37" spans="1:20">
      <c r="A37" s="27" t="s">
        <v>82</v>
      </c>
      <c r="B37" s="28"/>
      <c r="C37" s="27" t="s">
        <v>83</v>
      </c>
      <c r="D37" s="28"/>
      <c r="E37" s="5">
        <v>5</v>
      </c>
      <c r="F37" s="5">
        <v>5</v>
      </c>
      <c r="G37" s="1">
        <f t="shared" si="0"/>
        <v>0.5</v>
      </c>
      <c r="H37" s="1">
        <v>5</v>
      </c>
      <c r="I37" s="1">
        <v>5</v>
      </c>
      <c r="J37" s="5">
        <f t="shared" si="1"/>
        <v>5</v>
      </c>
      <c r="K37" s="5">
        <f t="shared" si="2"/>
        <v>2</v>
      </c>
      <c r="L37" s="1">
        <v>3.7</v>
      </c>
      <c r="M37" s="6">
        <f>L37*0.5</f>
        <v>1.85</v>
      </c>
      <c r="N37" s="6">
        <v>7</v>
      </c>
      <c r="O37" s="6">
        <v>0.5</v>
      </c>
      <c r="P37" s="6">
        <f t="shared" si="3"/>
        <v>7.4999999999999997E-2</v>
      </c>
      <c r="Q37" s="6">
        <f>M37+K37+G37</f>
        <v>4.3499999999999996</v>
      </c>
      <c r="R37" s="6">
        <f>INT(Q37*10)/10+IF(MOD(Q37*10,1)&gt;=0.5,0.1,0)</f>
        <v>4.3999999999999995</v>
      </c>
      <c r="S37" s="1" t="str">
        <f>IF(Q37&lt;3,3-Q37,"No aplica")</f>
        <v>No aplica</v>
      </c>
      <c r="T37" s="1">
        <f t="shared" si="4"/>
        <v>4.4749999999999996</v>
      </c>
    </row>
    <row r="38" spans="1:20">
      <c r="A38" s="27" t="s">
        <v>84</v>
      </c>
      <c r="B38" s="28"/>
      <c r="C38" s="27" t="s">
        <v>85</v>
      </c>
      <c r="D38" s="28"/>
      <c r="E38" s="5">
        <v>3.9</v>
      </c>
      <c r="F38" s="5">
        <v>5</v>
      </c>
      <c r="G38" s="1">
        <f t="shared" si="0"/>
        <v>0.44500000000000006</v>
      </c>
      <c r="H38" s="1">
        <v>4.5</v>
      </c>
      <c r="I38" s="1">
        <v>5</v>
      </c>
      <c r="J38" s="5">
        <f t="shared" si="1"/>
        <v>4.6333333333333337</v>
      </c>
      <c r="K38" s="5">
        <f t="shared" si="2"/>
        <v>1.8266666666666667</v>
      </c>
      <c r="L38" s="1">
        <v>4.4000000000000004</v>
      </c>
      <c r="M38" s="6">
        <f>L38*0.5</f>
        <v>2.2000000000000002</v>
      </c>
      <c r="N38" s="6">
        <v>3</v>
      </c>
      <c r="O38" s="6">
        <v>1</v>
      </c>
      <c r="P38" s="6">
        <f t="shared" si="3"/>
        <v>0.04</v>
      </c>
      <c r="Q38" s="6">
        <f>M38+K38+G38</f>
        <v>4.4716666666666676</v>
      </c>
      <c r="R38" s="6">
        <f>INT(Q38*10)/10+IF(MOD(Q38*10,1)&gt;=0.5,0.1,0)</f>
        <v>4.5</v>
      </c>
      <c r="S38" s="1" t="str">
        <f>IF(Q38&lt;3,3-Q38,"No aplica")</f>
        <v>No aplica</v>
      </c>
      <c r="T38" s="1">
        <f t="shared" si="4"/>
        <v>4.54</v>
      </c>
    </row>
    <row r="39" spans="1:20">
      <c r="A39" s="27" t="s">
        <v>86</v>
      </c>
      <c r="B39" s="28"/>
      <c r="C39" s="27" t="s">
        <v>87</v>
      </c>
      <c r="D39" s="28"/>
      <c r="E39" s="5">
        <v>5</v>
      </c>
      <c r="F39" s="5">
        <v>5</v>
      </c>
      <c r="G39" s="1">
        <f t="shared" si="0"/>
        <v>0.5</v>
      </c>
      <c r="H39" s="1">
        <v>5</v>
      </c>
      <c r="I39" s="1">
        <v>5</v>
      </c>
      <c r="J39" s="5">
        <f t="shared" si="1"/>
        <v>5</v>
      </c>
      <c r="K39" s="5">
        <f t="shared" si="2"/>
        <v>2</v>
      </c>
      <c r="L39" s="1">
        <v>4.3</v>
      </c>
      <c r="M39" s="6">
        <f>L39*0.5</f>
        <v>2.15</v>
      </c>
      <c r="N39" s="6"/>
      <c r="O39" s="6">
        <v>2</v>
      </c>
      <c r="P39" s="6">
        <f t="shared" si="3"/>
        <v>0.02</v>
      </c>
      <c r="Q39" s="6">
        <f>M39+K39+G39</f>
        <v>4.6500000000000004</v>
      </c>
      <c r="R39" s="6">
        <f>INT(Q39*10)/10+IF(MOD(Q39*10,1)&gt;=0.5,0.1,0)</f>
        <v>4.6999999999999993</v>
      </c>
      <c r="S39" s="1" t="str">
        <f>IF(Q39&lt;3,3-Q39,"No aplica")</f>
        <v>No aplica</v>
      </c>
      <c r="T39" s="1">
        <f t="shared" si="4"/>
        <v>4.7199999999999989</v>
      </c>
    </row>
    <row r="40" spans="1:20">
      <c r="A40" s="27" t="s">
        <v>88</v>
      </c>
      <c r="B40" s="28"/>
      <c r="C40" s="27" t="s">
        <v>89</v>
      </c>
      <c r="D40" s="28"/>
      <c r="E40" s="13">
        <v>5</v>
      </c>
      <c r="F40" s="13">
        <v>5</v>
      </c>
      <c r="G40" s="1">
        <f t="shared" si="0"/>
        <v>0.5</v>
      </c>
      <c r="H40" s="1">
        <v>5</v>
      </c>
      <c r="I40" s="1">
        <v>5</v>
      </c>
      <c r="J40" s="5">
        <f t="shared" si="1"/>
        <v>5</v>
      </c>
      <c r="K40" s="5">
        <f t="shared" si="2"/>
        <v>2</v>
      </c>
      <c r="L40" s="1">
        <v>4.5</v>
      </c>
      <c r="M40" s="6">
        <f>L40*0.5</f>
        <v>2.25</v>
      </c>
      <c r="N40" s="6">
        <v>7</v>
      </c>
      <c r="O40" s="6">
        <v>0.5</v>
      </c>
      <c r="P40" s="6">
        <f t="shared" si="3"/>
        <v>7.4999999999999997E-2</v>
      </c>
      <c r="Q40" s="6">
        <f>M40+K40+G40</f>
        <v>4.75</v>
      </c>
      <c r="R40" s="6">
        <f>INT(Q40*10)/10+IF(MOD(Q40*10,1)&gt;=0.5,0.1,0)</f>
        <v>4.8</v>
      </c>
      <c r="S40" s="1" t="str">
        <f>IF(Q40&lt;3,3-Q40,"No aplica")</f>
        <v>No aplica</v>
      </c>
      <c r="T40" s="1">
        <f t="shared" si="4"/>
        <v>4.875</v>
      </c>
    </row>
    <row r="41" spans="1:20">
      <c r="A41" s="32" t="s">
        <v>90</v>
      </c>
      <c r="B41" s="33"/>
      <c r="C41" s="32" t="s">
        <v>91</v>
      </c>
      <c r="D41" s="33"/>
      <c r="E41" s="5">
        <v>5</v>
      </c>
      <c r="F41" s="5">
        <v>5</v>
      </c>
      <c r="G41" s="1">
        <f t="shared" si="0"/>
        <v>0.5</v>
      </c>
      <c r="H41" s="1">
        <v>5</v>
      </c>
      <c r="I41" s="1">
        <v>5</v>
      </c>
      <c r="J41" s="5">
        <f t="shared" si="1"/>
        <v>5</v>
      </c>
      <c r="K41" s="5">
        <f t="shared" si="2"/>
        <v>2</v>
      </c>
      <c r="L41" s="1">
        <v>4.5</v>
      </c>
      <c r="M41" s="6">
        <f>L41*0.5</f>
        <v>2.25</v>
      </c>
      <c r="N41" s="6">
        <v>7</v>
      </c>
      <c r="O41" s="6">
        <v>0.5</v>
      </c>
      <c r="P41" s="6">
        <f t="shared" si="3"/>
        <v>7.4999999999999997E-2</v>
      </c>
      <c r="Q41" s="6">
        <f>M41+K41+G41</f>
        <v>4.75</v>
      </c>
      <c r="R41" s="6">
        <f>INT(Q41*10)/10+IF(MOD(Q41*10,1)&gt;=0.5,0.1,0)</f>
        <v>4.8</v>
      </c>
      <c r="S41" s="1" t="str">
        <f>IF(Q41&lt;3,3-Q41,"No aplica")</f>
        <v>No aplica</v>
      </c>
      <c r="T41" s="1">
        <f t="shared" si="4"/>
        <v>4.875</v>
      </c>
    </row>
    <row r="42" spans="1:20">
      <c r="A42" s="27" t="s">
        <v>92</v>
      </c>
      <c r="B42" s="28"/>
      <c r="C42" s="27" t="s">
        <v>93</v>
      </c>
      <c r="D42" s="28"/>
      <c r="E42" s="5">
        <v>5</v>
      </c>
      <c r="F42" s="5">
        <v>4</v>
      </c>
      <c r="G42" s="1">
        <f t="shared" si="0"/>
        <v>0.45</v>
      </c>
      <c r="H42" s="1">
        <v>4.9000000000000004</v>
      </c>
      <c r="I42" s="1">
        <v>5</v>
      </c>
      <c r="J42" s="5">
        <f t="shared" si="1"/>
        <v>4.666666666666667</v>
      </c>
      <c r="K42" s="5">
        <f t="shared" si="2"/>
        <v>1.9133333333333333</v>
      </c>
      <c r="L42" s="1">
        <v>4.5</v>
      </c>
      <c r="M42" s="6">
        <f>L42*0.5</f>
        <v>2.25</v>
      </c>
      <c r="N42" s="6">
        <v>4</v>
      </c>
      <c r="O42" s="6">
        <v>0.5</v>
      </c>
      <c r="P42" s="6">
        <f t="shared" si="3"/>
        <v>4.4999999999999998E-2</v>
      </c>
      <c r="Q42" s="6">
        <f>M42+K42+G42</f>
        <v>4.6133333333333333</v>
      </c>
      <c r="R42" s="6">
        <f>INT(Q42*10)/10+IF(MOD(Q42*10,1)&gt;=0.5,0.1,0)</f>
        <v>4.5999999999999996</v>
      </c>
      <c r="S42" s="1" t="str">
        <f>IF(Q42&lt;3,3-Q42,"No aplica")</f>
        <v>No aplica</v>
      </c>
      <c r="T42" s="1">
        <f t="shared" si="4"/>
        <v>4.6449999999999996</v>
      </c>
    </row>
    <row r="43" spans="1:20">
      <c r="A43" s="27" t="s">
        <v>94</v>
      </c>
      <c r="B43" s="28"/>
      <c r="C43" s="27" t="s">
        <v>95</v>
      </c>
      <c r="D43" s="28"/>
      <c r="E43" s="5">
        <v>3.9</v>
      </c>
      <c r="F43" s="5">
        <v>5</v>
      </c>
      <c r="G43" s="1">
        <f t="shared" si="0"/>
        <v>0.44500000000000006</v>
      </c>
      <c r="H43" s="1">
        <v>4.9000000000000004</v>
      </c>
      <c r="I43" s="1">
        <v>5</v>
      </c>
      <c r="J43" s="5">
        <f t="shared" si="1"/>
        <v>4.6333333333333337</v>
      </c>
      <c r="K43" s="5">
        <f t="shared" si="2"/>
        <v>1.9066666666666672</v>
      </c>
      <c r="L43" s="1">
        <v>3.5</v>
      </c>
      <c r="M43" s="6">
        <f>L43*0.5</f>
        <v>1.75</v>
      </c>
      <c r="N43" s="6"/>
      <c r="O43" s="6">
        <v>1</v>
      </c>
      <c r="P43" s="6">
        <f t="shared" si="3"/>
        <v>0.01</v>
      </c>
      <c r="Q43" s="6">
        <f>M43+K43+G43</f>
        <v>4.1016666666666675</v>
      </c>
      <c r="R43" s="6">
        <f>INT(Q43*10)/10+IF(MOD(Q43*10,1)&gt;=0.5,0.1,0)</f>
        <v>4.0999999999999996</v>
      </c>
      <c r="S43" s="1" t="str">
        <f>IF(Q43&lt;3,3-Q43,"No aplica")</f>
        <v>No aplica</v>
      </c>
      <c r="T43" s="1">
        <f t="shared" si="4"/>
        <v>4.1099999999999994</v>
      </c>
    </row>
    <row r="44" spans="1:20">
      <c r="A44" s="27" t="s">
        <v>96</v>
      </c>
      <c r="B44" s="28"/>
      <c r="C44" s="27" t="s">
        <v>97</v>
      </c>
      <c r="D44" s="28"/>
      <c r="E44" s="5">
        <v>5</v>
      </c>
      <c r="F44" s="5">
        <v>4</v>
      </c>
      <c r="G44" s="1">
        <f t="shared" si="0"/>
        <v>0.45</v>
      </c>
      <c r="H44" s="1">
        <v>4.4000000000000004</v>
      </c>
      <c r="I44" s="1">
        <v>5</v>
      </c>
      <c r="J44" s="5">
        <f t="shared" si="1"/>
        <v>4.666666666666667</v>
      </c>
      <c r="K44" s="5">
        <f t="shared" si="2"/>
        <v>1.8133333333333335</v>
      </c>
      <c r="L44" s="1">
        <v>3.1</v>
      </c>
      <c r="M44" s="6">
        <f>L44*0.5</f>
        <v>1.55</v>
      </c>
      <c r="N44" s="6">
        <v>7</v>
      </c>
      <c r="O44" s="6">
        <v>0.5</v>
      </c>
      <c r="P44" s="6">
        <f t="shared" si="3"/>
        <v>7.4999999999999997E-2</v>
      </c>
      <c r="Q44" s="6">
        <f>M44+K44+G44</f>
        <v>3.8133333333333335</v>
      </c>
      <c r="R44" s="6">
        <f>INT(Q44*10)/10+IF(MOD(Q44*10,1)&gt;=0.5,0.1,0)</f>
        <v>3.8</v>
      </c>
      <c r="S44" s="1" t="str">
        <f>IF(Q44&lt;3,3-Q44,"No aplica")</f>
        <v>No aplica</v>
      </c>
      <c r="T44" s="1">
        <f t="shared" si="4"/>
        <v>3.875</v>
      </c>
    </row>
    <row r="45" spans="1:20">
      <c r="A45" s="27" t="s">
        <v>98</v>
      </c>
      <c r="B45" s="28"/>
      <c r="C45" s="27" t="s">
        <v>99</v>
      </c>
      <c r="D45" s="28"/>
      <c r="E45" s="5">
        <v>3.9</v>
      </c>
      <c r="F45" s="5">
        <v>5</v>
      </c>
      <c r="G45" s="1">
        <f t="shared" si="0"/>
        <v>0.44500000000000006</v>
      </c>
      <c r="H45" s="1">
        <v>4.5999999999999996</v>
      </c>
      <c r="I45" s="1">
        <v>5</v>
      </c>
      <c r="J45" s="5">
        <f t="shared" si="1"/>
        <v>4.6333333333333337</v>
      </c>
      <c r="K45" s="5">
        <f t="shared" si="2"/>
        <v>1.8466666666666669</v>
      </c>
      <c r="L45" s="1">
        <v>2.7</v>
      </c>
      <c r="M45" s="6">
        <f>L45*0.5</f>
        <v>1.35</v>
      </c>
      <c r="N45" s="6">
        <v>7</v>
      </c>
      <c r="O45" s="6">
        <v>0.5</v>
      </c>
      <c r="P45" s="6">
        <f t="shared" si="3"/>
        <v>7.4999999999999997E-2</v>
      </c>
      <c r="Q45" s="6">
        <f>M45+K45+G45</f>
        <v>3.6416666666666675</v>
      </c>
      <c r="R45" s="6">
        <f>INT(Q45*10)/10+IF(MOD(Q45*10,1)&gt;=0.5,0.1,0)</f>
        <v>3.6</v>
      </c>
      <c r="S45" s="1" t="str">
        <f>IF(Q45&lt;3,3-Q45,"No aplica")</f>
        <v>No aplica</v>
      </c>
      <c r="T45" s="1">
        <f t="shared" si="4"/>
        <v>3.6750000000000003</v>
      </c>
    </row>
    <row r="46" spans="1:20">
      <c r="A46" s="27" t="s">
        <v>100</v>
      </c>
      <c r="B46" s="28"/>
      <c r="C46" s="27" t="s">
        <v>101</v>
      </c>
      <c r="D46" s="28"/>
      <c r="E46" s="5">
        <v>5</v>
      </c>
      <c r="F46" s="5">
        <v>4.5</v>
      </c>
      <c r="G46" s="1">
        <f t="shared" si="0"/>
        <v>0.47500000000000003</v>
      </c>
      <c r="H46" s="1">
        <v>4.5</v>
      </c>
      <c r="I46" s="1">
        <v>5</v>
      </c>
      <c r="J46" s="5">
        <f t="shared" si="1"/>
        <v>4.833333333333333</v>
      </c>
      <c r="K46" s="5">
        <f t="shared" si="2"/>
        <v>1.8666666666666665</v>
      </c>
      <c r="L46" s="1">
        <v>3.5</v>
      </c>
      <c r="M46" s="6">
        <f>L46*0.5</f>
        <v>1.75</v>
      </c>
      <c r="N46" s="6"/>
      <c r="O46" s="6">
        <v>2</v>
      </c>
      <c r="P46" s="6">
        <f t="shared" si="3"/>
        <v>0.02</v>
      </c>
      <c r="Q46" s="6">
        <f>M46+K46+G46</f>
        <v>4.0916666666666659</v>
      </c>
      <c r="R46" s="6">
        <f>INT(Q46*10)/10+IF(MOD(Q46*10,1)&gt;=0.5,0.1,0)</f>
        <v>4.0999999999999996</v>
      </c>
      <c r="S46" s="1" t="str">
        <f>IF(Q46&lt;3,3-Q46,"No aplica")</f>
        <v>No aplica</v>
      </c>
      <c r="T46" s="1">
        <f t="shared" si="4"/>
        <v>4.1199999999999992</v>
      </c>
    </row>
    <row r="47" spans="1:20">
      <c r="A47" s="27" t="s">
        <v>102</v>
      </c>
      <c r="B47" s="28"/>
      <c r="C47" s="27" t="s">
        <v>103</v>
      </c>
      <c r="D47" s="28"/>
      <c r="E47" s="5">
        <v>5</v>
      </c>
      <c r="F47" s="5">
        <v>4</v>
      </c>
      <c r="G47" s="1">
        <f t="shared" si="0"/>
        <v>0.45</v>
      </c>
      <c r="H47" s="1">
        <v>5</v>
      </c>
      <c r="I47" s="1">
        <v>5</v>
      </c>
      <c r="J47" s="5">
        <f t="shared" si="1"/>
        <v>4.666666666666667</v>
      </c>
      <c r="K47" s="5">
        <f t="shared" si="2"/>
        <v>1.9333333333333336</v>
      </c>
      <c r="L47" s="1">
        <v>4.2</v>
      </c>
      <c r="M47" s="6">
        <f>L47*0.5</f>
        <v>2.1</v>
      </c>
      <c r="N47" s="6">
        <v>6</v>
      </c>
      <c r="O47" s="6">
        <v>3</v>
      </c>
      <c r="P47" s="6">
        <f t="shared" si="3"/>
        <v>0.09</v>
      </c>
      <c r="Q47" s="6">
        <f>M47+K47+G47</f>
        <v>4.4833333333333334</v>
      </c>
      <c r="R47" s="6">
        <f>INT(Q47*10)/10+IF(MOD(Q47*10,1)&gt;=0.5,0.1,0)</f>
        <v>4.5</v>
      </c>
      <c r="S47" s="1" t="str">
        <f>IF(Q47&lt;3,3-Q47,"No aplica")</f>
        <v>No aplica</v>
      </c>
      <c r="T47" s="1">
        <f t="shared" si="4"/>
        <v>4.59</v>
      </c>
    </row>
    <row r="48" spans="1:20">
      <c r="A48" s="32" t="s">
        <v>104</v>
      </c>
      <c r="B48" s="33"/>
      <c r="C48" s="32" t="s">
        <v>105</v>
      </c>
      <c r="D48" s="33"/>
      <c r="E48" s="5">
        <v>3.9</v>
      </c>
      <c r="F48" s="5">
        <v>5</v>
      </c>
      <c r="G48" s="1">
        <f t="shared" si="0"/>
        <v>0.44500000000000006</v>
      </c>
      <c r="H48" s="1">
        <v>4.4000000000000004</v>
      </c>
      <c r="I48" s="1">
        <v>5</v>
      </c>
      <c r="J48" s="5">
        <f t="shared" si="1"/>
        <v>4.6333333333333337</v>
      </c>
      <c r="K48" s="5">
        <f t="shared" si="2"/>
        <v>1.8066666666666671</v>
      </c>
      <c r="L48" s="1">
        <v>3.3</v>
      </c>
      <c r="M48" s="6">
        <f>L48*0.5</f>
        <v>1.65</v>
      </c>
      <c r="N48" s="6">
        <v>7</v>
      </c>
      <c r="O48" s="6">
        <v>0.5</v>
      </c>
      <c r="P48" s="6">
        <f t="shared" si="3"/>
        <v>7.4999999999999997E-2</v>
      </c>
      <c r="Q48" s="6">
        <f>M48+K48+G48</f>
        <v>3.9016666666666673</v>
      </c>
      <c r="R48" s="6">
        <f>INT(Q48*10)/10+IF(MOD(Q48*10,1)&gt;=0.5,0.1,0)</f>
        <v>3.9</v>
      </c>
      <c r="S48" s="1" t="str">
        <f>IF(Q48&lt;3,3-Q48,"No aplica")</f>
        <v>No aplica</v>
      </c>
      <c r="T48" s="1">
        <f t="shared" si="4"/>
        <v>3.9750000000000001</v>
      </c>
    </row>
    <row r="49" spans="1:20">
      <c r="A49" s="32" t="s">
        <v>106</v>
      </c>
      <c r="B49" s="33"/>
      <c r="C49" s="32" t="s">
        <v>107</v>
      </c>
      <c r="D49" s="33"/>
      <c r="E49" s="5">
        <v>5</v>
      </c>
      <c r="F49" s="5">
        <v>5</v>
      </c>
      <c r="G49" s="1">
        <f t="shared" si="0"/>
        <v>0.5</v>
      </c>
      <c r="H49" s="1">
        <v>4.5999999999999996</v>
      </c>
      <c r="I49" s="1">
        <v>4.5</v>
      </c>
      <c r="J49" s="5">
        <f t="shared" si="1"/>
        <v>4.833333333333333</v>
      </c>
      <c r="K49" s="5">
        <f t="shared" si="2"/>
        <v>1.8866666666666667</v>
      </c>
      <c r="L49" s="1">
        <v>2.85</v>
      </c>
      <c r="M49" s="6">
        <f>L49*0.5</f>
        <v>1.425</v>
      </c>
      <c r="N49" s="6"/>
      <c r="O49" s="6">
        <v>0.5</v>
      </c>
      <c r="P49" s="6">
        <f t="shared" si="3"/>
        <v>5.0000000000000001E-3</v>
      </c>
      <c r="Q49" s="6">
        <f>M49+K49+G49</f>
        <v>3.8116666666666665</v>
      </c>
      <c r="R49" s="6">
        <f>INT(Q49*10)/10+IF(MOD(Q49*10,1)&gt;=0.5,0.1,0)</f>
        <v>3.8</v>
      </c>
      <c r="S49" s="1" t="str">
        <f>IF(Q49&lt;3,3-Q49,"No aplica")</f>
        <v>No aplica</v>
      </c>
      <c r="T49" s="1">
        <f t="shared" si="4"/>
        <v>3.8049999999999997</v>
      </c>
    </row>
    <row r="50" spans="1:20">
      <c r="A50" s="32" t="s">
        <v>108</v>
      </c>
      <c r="B50" s="33"/>
      <c r="C50" s="32" t="s">
        <v>109</v>
      </c>
      <c r="D50" s="33"/>
      <c r="E50" s="5">
        <v>3.9</v>
      </c>
      <c r="F50" s="5">
        <v>5</v>
      </c>
      <c r="G50" s="1">
        <f t="shared" si="0"/>
        <v>0.44500000000000006</v>
      </c>
      <c r="H50" s="1">
        <v>4.5999999999999996</v>
      </c>
      <c r="I50" s="1">
        <v>5</v>
      </c>
      <c r="J50" s="5">
        <f t="shared" si="1"/>
        <v>4.6333333333333337</v>
      </c>
      <c r="K50" s="5">
        <f t="shared" si="2"/>
        <v>1.8466666666666669</v>
      </c>
      <c r="L50" s="1">
        <v>2.7</v>
      </c>
      <c r="M50" s="6">
        <f>L50*0.5</f>
        <v>1.35</v>
      </c>
      <c r="N50" s="6">
        <v>7</v>
      </c>
      <c r="O50" s="6">
        <v>0.5</v>
      </c>
      <c r="P50" s="6">
        <f t="shared" si="3"/>
        <v>7.4999999999999997E-2</v>
      </c>
      <c r="Q50" s="6">
        <f>M50+K50+G50</f>
        <v>3.6416666666666675</v>
      </c>
      <c r="R50" s="6">
        <f>INT(Q50*10)/10+IF(MOD(Q50*10,1)&gt;=0.5,0.1,0)</f>
        <v>3.6</v>
      </c>
      <c r="S50" s="1" t="str">
        <f>IF(Q50&lt;3,3-Q50,"No aplica")</f>
        <v>No aplica</v>
      </c>
      <c r="T50" s="1">
        <f t="shared" si="4"/>
        <v>3.6750000000000003</v>
      </c>
    </row>
    <row r="51" spans="1:20">
      <c r="A51" s="32" t="s">
        <v>110</v>
      </c>
      <c r="B51" s="33"/>
      <c r="C51" s="32" t="s">
        <v>111</v>
      </c>
      <c r="D51" s="33"/>
      <c r="E51" s="5">
        <v>5</v>
      </c>
      <c r="F51" s="5">
        <v>5</v>
      </c>
      <c r="G51" s="1">
        <f t="shared" si="0"/>
        <v>0.5</v>
      </c>
      <c r="H51" s="1">
        <v>4.3</v>
      </c>
      <c r="I51" s="1">
        <v>5</v>
      </c>
      <c r="J51" s="5">
        <f t="shared" si="1"/>
        <v>5</v>
      </c>
      <c r="K51" s="5">
        <f t="shared" si="2"/>
        <v>1.8600000000000003</v>
      </c>
      <c r="L51" s="1">
        <v>4.4000000000000004</v>
      </c>
      <c r="M51" s="6">
        <f>L51*0.5</f>
        <v>2.2000000000000002</v>
      </c>
      <c r="N51" s="6">
        <v>6</v>
      </c>
      <c r="O51" s="6">
        <v>0.5</v>
      </c>
      <c r="P51" s="6">
        <f t="shared" si="3"/>
        <v>6.5000000000000002E-2</v>
      </c>
      <c r="Q51" s="6">
        <f>M51+K51+G51</f>
        <v>4.5600000000000005</v>
      </c>
      <c r="R51" s="6">
        <f>INT(Q51*10)/10+IF(MOD(Q51*10,1)&gt;=0.5,0.1,0)</f>
        <v>4.5999999999999996</v>
      </c>
      <c r="S51" s="1" t="str">
        <f>IF(Q51&lt;3,3-Q51,"No aplica")</f>
        <v>No aplica</v>
      </c>
      <c r="T51" s="1">
        <f t="shared" si="4"/>
        <v>4.665</v>
      </c>
    </row>
    <row r="52" spans="1:20">
      <c r="A52" s="32" t="s">
        <v>112</v>
      </c>
      <c r="B52" s="33"/>
      <c r="C52" s="32" t="s">
        <v>113</v>
      </c>
      <c r="D52" s="33"/>
      <c r="E52" s="5">
        <v>5</v>
      </c>
      <c r="F52" s="5">
        <v>4.5</v>
      </c>
      <c r="G52" s="1">
        <f t="shared" si="0"/>
        <v>0.47500000000000003</v>
      </c>
      <c r="H52" s="1">
        <v>4.3</v>
      </c>
      <c r="I52" s="1">
        <v>5</v>
      </c>
      <c r="J52" s="5">
        <f t="shared" si="1"/>
        <v>4.833333333333333</v>
      </c>
      <c r="K52" s="5">
        <f t="shared" si="2"/>
        <v>1.8266666666666667</v>
      </c>
      <c r="L52" s="1">
        <v>2.2000000000000002</v>
      </c>
      <c r="M52" s="6">
        <f>L52*0.5</f>
        <v>1.1000000000000001</v>
      </c>
      <c r="N52" s="6">
        <v>6</v>
      </c>
      <c r="O52" s="6">
        <v>1</v>
      </c>
      <c r="P52" s="6">
        <f t="shared" si="3"/>
        <v>7.0000000000000007E-2</v>
      </c>
      <c r="Q52" s="6">
        <f>M52+K52+G52</f>
        <v>3.4016666666666668</v>
      </c>
      <c r="R52" s="6">
        <f>INT(Q52*10)/10+IF(MOD(Q52*10,1)&gt;=0.5,0.1,0)</f>
        <v>3.4</v>
      </c>
      <c r="S52" s="1" t="str">
        <f>IF(Q52&lt;3,3-Q52,"No aplica")</f>
        <v>No aplica</v>
      </c>
      <c r="T52" s="1">
        <f t="shared" si="4"/>
        <v>3.4699999999999998</v>
      </c>
    </row>
    <row r="54" spans="1:20">
      <c r="O54" t="s">
        <v>125</v>
      </c>
    </row>
  </sheetData>
  <mergeCells count="104">
    <mergeCell ref="A1:B1"/>
    <mergeCell ref="C1:I1"/>
    <mergeCell ref="A2:B2"/>
    <mergeCell ref="C2:I2"/>
    <mergeCell ref="A3:B3"/>
    <mergeCell ref="C3:I3"/>
    <mergeCell ref="N6:O6"/>
    <mergeCell ref="E6:F6"/>
    <mergeCell ref="A8:B8"/>
    <mergeCell ref="C8:D8"/>
    <mergeCell ref="A9:B9"/>
    <mergeCell ref="C9:D9"/>
    <mergeCell ref="A10:B10"/>
    <mergeCell ref="C10:D10"/>
    <mergeCell ref="A4:B4"/>
    <mergeCell ref="C4:I4"/>
    <mergeCell ref="A6:D6"/>
    <mergeCell ref="H6:I6"/>
    <mergeCell ref="A7:B7"/>
    <mergeCell ref="C7:D7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44:B44"/>
    <mergeCell ref="C44:D44"/>
    <mergeCell ref="A45:B45"/>
    <mergeCell ref="C45:D45"/>
    <mergeCell ref="A46:B46"/>
    <mergeCell ref="C46:D46"/>
    <mergeCell ref="A41:B41"/>
    <mergeCell ref="C41:D41"/>
    <mergeCell ref="A42:B42"/>
    <mergeCell ref="C42:D42"/>
    <mergeCell ref="A43:B43"/>
    <mergeCell ref="C43:D43"/>
    <mergeCell ref="A50:B50"/>
    <mergeCell ref="C50:D50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</mergeCells>
  <conditionalFormatting sqref="E8:F52">
    <cfRule type="expression" dxfId="19" priority="3">
      <formula>E8&lt;3</formula>
    </cfRule>
    <cfRule type="expression" dxfId="18" priority="4">
      <formula>E8&gt;=3</formula>
    </cfRule>
  </conditionalFormatting>
  <conditionalFormatting sqref="H8:J52">
    <cfRule type="expression" dxfId="17" priority="9">
      <formula>H8&gt;=3</formula>
    </cfRule>
    <cfRule type="expression" dxfId="16" priority="10">
      <formula>H8&lt;3</formula>
    </cfRule>
  </conditionalFormatting>
  <conditionalFormatting sqref="L8:L52">
    <cfRule type="expression" dxfId="15" priority="7">
      <formula>L8&gt;=3</formula>
    </cfRule>
    <cfRule type="expression" dxfId="14" priority="8">
      <formula>L8&lt;3</formula>
    </cfRule>
  </conditionalFormatting>
  <conditionalFormatting sqref="Q8:Q52">
    <cfRule type="expression" dxfId="13" priority="5">
      <formula>Q8&gt;=3</formula>
    </cfRule>
    <cfRule type="expression" dxfId="12" priority="6">
      <formula>Q8&lt;3</formula>
    </cfRule>
  </conditionalFormatting>
  <conditionalFormatting sqref="N8:O52">
    <cfRule type="cellIs" dxfId="11" priority="1" operator="greaterThan">
      <formula>0</formula>
    </cfRule>
    <cfRule type="containsBlanks" dxfId="10" priority="2">
      <formula>LEN(TRIM(N8))=0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86B9-3138-4D25-A8CC-1A57B3AE0E86}">
  <dimension ref="A1:Q52"/>
  <sheetViews>
    <sheetView tabSelected="1" workbookViewId="0">
      <pane xSplit="4" topLeftCell="E1" activePane="topRight" state="frozen"/>
      <selection pane="topRight" activeCell="S40" sqref="S40"/>
    </sheetView>
  </sheetViews>
  <sheetFormatPr defaultRowHeight="15"/>
  <cols>
    <col min="3" max="3" width="17" customWidth="1"/>
    <col min="4" max="4" width="18.5703125" customWidth="1"/>
    <col min="7" max="7" width="13.28515625" bestFit="1" customWidth="1"/>
    <col min="8" max="8" width="9" bestFit="1" customWidth="1"/>
    <col min="9" max="9" width="9.85546875" customWidth="1"/>
    <col min="13" max="13" width="33" bestFit="1" customWidth="1"/>
    <col min="14" max="14" width="12.42578125" customWidth="1"/>
    <col min="16" max="16" width="11" bestFit="1" customWidth="1"/>
    <col min="17" max="17" width="20.5703125" bestFit="1" customWidth="1"/>
  </cols>
  <sheetData>
    <row r="1" spans="1:17">
      <c r="A1" s="20" t="s">
        <v>0</v>
      </c>
      <c r="B1" s="20"/>
      <c r="C1" s="21" t="s">
        <v>1</v>
      </c>
      <c r="D1" s="21"/>
      <c r="E1" s="21"/>
      <c r="F1" s="21"/>
      <c r="G1" s="21"/>
      <c r="H1" s="21"/>
      <c r="I1" s="21"/>
    </row>
    <row r="2" spans="1:17">
      <c r="A2" s="20" t="s">
        <v>2</v>
      </c>
      <c r="B2" s="20"/>
      <c r="C2" s="21" t="s">
        <v>3</v>
      </c>
      <c r="D2" s="21"/>
      <c r="E2" s="21"/>
      <c r="F2" s="21"/>
      <c r="G2" s="21"/>
      <c r="H2" s="21"/>
      <c r="I2" s="21"/>
    </row>
    <row r="3" spans="1:17">
      <c r="A3" s="22" t="s">
        <v>4</v>
      </c>
      <c r="B3" s="23"/>
      <c r="C3" s="24" t="s">
        <v>5</v>
      </c>
      <c r="D3" s="25"/>
      <c r="E3" s="25"/>
      <c r="F3" s="25"/>
      <c r="G3" s="25"/>
      <c r="H3" s="25"/>
      <c r="I3" s="26"/>
      <c r="L3" s="12"/>
      <c r="M3" s="12"/>
    </row>
    <row r="4" spans="1:17">
      <c r="A4" s="20" t="s">
        <v>6</v>
      </c>
      <c r="B4" s="20"/>
      <c r="C4" s="21" t="s">
        <v>7</v>
      </c>
      <c r="D4" s="21"/>
      <c r="E4" s="21"/>
      <c r="F4" s="21"/>
      <c r="G4" s="21"/>
      <c r="H4" s="21"/>
      <c r="I4" s="21"/>
    </row>
    <row r="6" spans="1:17">
      <c r="A6" s="29" t="s">
        <v>8</v>
      </c>
      <c r="B6" s="29"/>
      <c r="C6" s="29"/>
      <c r="D6" s="29"/>
      <c r="E6" s="2" t="s">
        <v>9</v>
      </c>
      <c r="F6" s="4">
        <v>0.05</v>
      </c>
      <c r="G6" s="29" t="s">
        <v>10</v>
      </c>
      <c r="H6" s="29"/>
      <c r="I6" s="29"/>
      <c r="J6" s="3">
        <v>0.5</v>
      </c>
      <c r="K6" s="2" t="s">
        <v>11</v>
      </c>
      <c r="L6" s="4">
        <v>0.45</v>
      </c>
      <c r="M6" s="18" t="s">
        <v>12</v>
      </c>
      <c r="N6" s="11" t="s">
        <v>13</v>
      </c>
      <c r="O6" s="7" t="s">
        <v>14</v>
      </c>
      <c r="P6" s="7" t="s">
        <v>15</v>
      </c>
      <c r="Q6" s="2" t="s">
        <v>16</v>
      </c>
    </row>
    <row r="7" spans="1:17">
      <c r="A7" s="30" t="s">
        <v>17</v>
      </c>
      <c r="B7" s="31"/>
      <c r="C7" s="30" t="s">
        <v>18</v>
      </c>
      <c r="D7" s="30"/>
      <c r="E7" s="8" t="s">
        <v>19</v>
      </c>
      <c r="F7" s="8"/>
      <c r="G7" s="14" t="s">
        <v>126</v>
      </c>
      <c r="H7" s="14" t="s">
        <v>127</v>
      </c>
      <c r="I7" s="14" t="s">
        <v>128</v>
      </c>
      <c r="J7" s="9"/>
      <c r="K7" s="8"/>
      <c r="L7" s="10"/>
      <c r="M7" s="19" t="s">
        <v>123</v>
      </c>
      <c r="N7" s="10"/>
      <c r="O7" s="10"/>
      <c r="P7" s="10"/>
      <c r="Q7" s="8"/>
    </row>
    <row r="8" spans="1:17">
      <c r="A8" s="27" t="s">
        <v>24</v>
      </c>
      <c r="B8" s="28"/>
      <c r="C8" s="27" t="s">
        <v>25</v>
      </c>
      <c r="D8" s="28"/>
      <c r="E8" s="13">
        <v>4.0999999999999996</v>
      </c>
      <c r="F8" s="1">
        <f>E8*0.05</f>
        <v>0.20499999999999999</v>
      </c>
      <c r="G8" s="1">
        <v>5</v>
      </c>
      <c r="H8" s="1">
        <v>4.3</v>
      </c>
      <c r="I8" s="1">
        <v>4.7</v>
      </c>
      <c r="J8" s="5">
        <f>AVERAGE(G8:I8)*0.5</f>
        <v>2.3333333333333335</v>
      </c>
      <c r="K8" s="1">
        <v>4</v>
      </c>
      <c r="L8" s="6">
        <f>K8*0.45</f>
        <v>1.8</v>
      </c>
      <c r="M8" s="6">
        <v>4</v>
      </c>
      <c r="N8" s="6">
        <f>(SUM(M8:M8)/5)*0.3</f>
        <v>0.24</v>
      </c>
      <c r="O8" s="6">
        <f>L8+J8+F8</f>
        <v>4.3383333333333338</v>
      </c>
      <c r="P8" s="6">
        <f>INT(O8*10)/10+IF(MOD(O8*10,1)&gt;=0.5,0.1,0)</f>
        <v>4.3</v>
      </c>
      <c r="Q8" s="1" t="str">
        <f>IF(O8&lt;3,3-O8,"No aplica")</f>
        <v>No aplica</v>
      </c>
    </row>
    <row r="9" spans="1:17">
      <c r="A9" s="27" t="s">
        <v>26</v>
      </c>
      <c r="B9" s="28"/>
      <c r="C9" s="27" t="s">
        <v>27</v>
      </c>
      <c r="D9" s="28"/>
      <c r="E9" s="5">
        <v>3.7</v>
      </c>
      <c r="F9" s="1">
        <f t="shared" ref="F9:F52" si="0">E9*0.05</f>
        <v>0.18500000000000003</v>
      </c>
      <c r="G9" s="1">
        <v>5</v>
      </c>
      <c r="H9" s="1">
        <v>4</v>
      </c>
      <c r="I9" s="1">
        <v>4.5</v>
      </c>
      <c r="J9" s="5">
        <f t="shared" ref="J9:J52" si="1">AVERAGE(G9:I9)*0.5</f>
        <v>2.25</v>
      </c>
      <c r="K9" s="1">
        <v>3.9</v>
      </c>
      <c r="L9" s="6">
        <f t="shared" ref="L9:L52" si="2">K9*0.45</f>
        <v>1.7549999999999999</v>
      </c>
      <c r="M9" s="6">
        <v>1</v>
      </c>
      <c r="N9" s="6">
        <f>(SUM(M9:M9)/5)*0.5</f>
        <v>0.1</v>
      </c>
      <c r="O9" s="6">
        <f>L9+J9+F9</f>
        <v>4.1899999999999995</v>
      </c>
      <c r="P9" s="6">
        <f>INT(O9*10)/10+IF(MOD(O9*10,1)&gt;=0.5,0.1,0)</f>
        <v>4.1999999999999993</v>
      </c>
      <c r="Q9" s="1" t="str">
        <f>IF(O9&lt;3,3-O9,"No aplica")</f>
        <v>No aplica</v>
      </c>
    </row>
    <row r="10" spans="1:17">
      <c r="A10" s="27" t="s">
        <v>28</v>
      </c>
      <c r="B10" s="28"/>
      <c r="C10" s="27" t="s">
        <v>29</v>
      </c>
      <c r="D10" s="28"/>
      <c r="E10" s="5">
        <v>3.3</v>
      </c>
      <c r="F10" s="1">
        <f t="shared" si="0"/>
        <v>0.16500000000000001</v>
      </c>
      <c r="G10" s="1">
        <v>5</v>
      </c>
      <c r="H10" s="1">
        <v>4.5</v>
      </c>
      <c r="I10" s="1">
        <v>4.7</v>
      </c>
      <c r="J10" s="5">
        <f t="shared" si="1"/>
        <v>2.3666666666666667</v>
      </c>
      <c r="K10" s="1">
        <v>3.5</v>
      </c>
      <c r="L10" s="6">
        <f t="shared" si="2"/>
        <v>1.575</v>
      </c>
      <c r="M10" s="6"/>
      <c r="N10" s="6">
        <f>(SUM(M10:M10)/5)*0.5</f>
        <v>0</v>
      </c>
      <c r="O10" s="6">
        <f>L10+J10+F10</f>
        <v>4.1066666666666665</v>
      </c>
      <c r="P10" s="6">
        <f>INT(O10*10)/10+IF(MOD(O10*10,1)&gt;=0.5,0.1,0)</f>
        <v>4.0999999999999996</v>
      </c>
      <c r="Q10" s="1" t="str">
        <f>IF(O10&lt;3,3-O10,"No aplica")</f>
        <v>No aplica</v>
      </c>
    </row>
    <row r="11" spans="1:17">
      <c r="A11" s="27" t="s">
        <v>30</v>
      </c>
      <c r="B11" s="28"/>
      <c r="C11" s="27" t="s">
        <v>31</v>
      </c>
      <c r="D11" s="28"/>
      <c r="E11" s="5">
        <v>4.0999999999999996</v>
      </c>
      <c r="F11" s="1">
        <f t="shared" si="0"/>
        <v>0.20499999999999999</v>
      </c>
      <c r="G11" s="1">
        <v>5</v>
      </c>
      <c r="H11" s="1">
        <v>4.3</v>
      </c>
      <c r="I11" s="1">
        <v>4.7</v>
      </c>
      <c r="J11" s="5">
        <f t="shared" si="1"/>
        <v>2.3333333333333335</v>
      </c>
      <c r="K11" s="1">
        <v>4</v>
      </c>
      <c r="L11" s="6">
        <f t="shared" si="2"/>
        <v>1.8</v>
      </c>
      <c r="M11" s="6">
        <v>5</v>
      </c>
      <c r="N11" s="6">
        <f>(SUM(M11:M11)/5)*0.5</f>
        <v>0.5</v>
      </c>
      <c r="O11" s="6">
        <f>L11+J11+F11</f>
        <v>4.3383333333333338</v>
      </c>
      <c r="P11" s="6">
        <f>INT(O11*10)/10+IF(MOD(O11*10,1)&gt;=0.5,0.1,0)</f>
        <v>4.3</v>
      </c>
      <c r="Q11" s="1" t="str">
        <f>IF(O11&lt;3,3-O11,"No aplica")</f>
        <v>No aplica</v>
      </c>
    </row>
    <row r="12" spans="1:17">
      <c r="A12" s="27" t="s">
        <v>32</v>
      </c>
      <c r="B12" s="28"/>
      <c r="C12" s="27" t="s">
        <v>33</v>
      </c>
      <c r="D12" s="28"/>
      <c r="E12" s="5">
        <v>4.3</v>
      </c>
      <c r="F12" s="1">
        <f t="shared" si="0"/>
        <v>0.215</v>
      </c>
      <c r="G12" s="1">
        <v>5</v>
      </c>
      <c r="H12" s="1">
        <v>4.5</v>
      </c>
      <c r="I12" s="1">
        <v>5</v>
      </c>
      <c r="J12" s="5">
        <f t="shared" si="1"/>
        <v>2.4166666666666665</v>
      </c>
      <c r="K12" s="1">
        <v>4.9000000000000004</v>
      </c>
      <c r="L12" s="6">
        <f t="shared" si="2"/>
        <v>2.2050000000000001</v>
      </c>
      <c r="M12" s="6">
        <v>10.1</v>
      </c>
      <c r="N12" s="6">
        <f>(SUM(M12:M12)/5)*0.5</f>
        <v>1.01</v>
      </c>
      <c r="O12" s="6">
        <f>L12+J12+F12</f>
        <v>4.836666666666666</v>
      </c>
      <c r="P12" s="6">
        <f>INT(O12*10)/10+IF(MOD(O12*10,1)&gt;=0.5,0.1,0)</f>
        <v>4.8</v>
      </c>
      <c r="Q12" s="1" t="str">
        <f>IF(O12&lt;3,3-O12,"No aplica")</f>
        <v>No aplica</v>
      </c>
    </row>
    <row r="13" spans="1:17">
      <c r="A13" s="27" t="s">
        <v>34</v>
      </c>
      <c r="B13" s="28"/>
      <c r="C13" s="27" t="s">
        <v>35</v>
      </c>
      <c r="D13" s="28"/>
      <c r="E13" s="5">
        <v>4.8</v>
      </c>
      <c r="F13" s="1">
        <f t="shared" si="0"/>
        <v>0.24</v>
      </c>
      <c r="G13" s="1">
        <v>5</v>
      </c>
      <c r="H13" s="1">
        <v>4.3</v>
      </c>
      <c r="I13" s="1">
        <v>4.7</v>
      </c>
      <c r="J13" s="5">
        <f t="shared" si="1"/>
        <v>2.3333333333333335</v>
      </c>
      <c r="K13" s="1">
        <v>5</v>
      </c>
      <c r="L13" s="6">
        <f t="shared" si="2"/>
        <v>2.25</v>
      </c>
      <c r="M13" s="6"/>
      <c r="N13" s="6">
        <f>(SUM(M13:M13)/5)*0.5</f>
        <v>0</v>
      </c>
      <c r="O13" s="6">
        <f>L13+J13+F13</f>
        <v>4.8233333333333341</v>
      </c>
      <c r="P13" s="6">
        <f>INT(O13*10)/10+IF(MOD(O13*10,1)&gt;=0.5,0.1,0)</f>
        <v>4.8</v>
      </c>
      <c r="Q13" s="1" t="str">
        <f>IF(O13&lt;3,3-O13,"No aplica")</f>
        <v>No aplica</v>
      </c>
    </row>
    <row r="14" spans="1:17">
      <c r="A14" s="32" t="s">
        <v>36</v>
      </c>
      <c r="B14" s="33"/>
      <c r="C14" s="32" t="s">
        <v>37</v>
      </c>
      <c r="D14" s="33"/>
      <c r="E14" s="5">
        <v>4.25</v>
      </c>
      <c r="F14" s="1">
        <f t="shared" si="0"/>
        <v>0.21250000000000002</v>
      </c>
      <c r="G14" s="1">
        <v>5</v>
      </c>
      <c r="H14" s="1">
        <v>4.5999999999999996</v>
      </c>
      <c r="I14" s="1">
        <v>4.5</v>
      </c>
      <c r="J14" s="5">
        <f t="shared" si="1"/>
        <v>2.35</v>
      </c>
      <c r="K14" s="1">
        <v>1</v>
      </c>
      <c r="L14" s="6">
        <f t="shared" si="2"/>
        <v>0.45</v>
      </c>
      <c r="M14" s="6">
        <v>8</v>
      </c>
      <c r="N14" s="6">
        <f>(SUM(M14:M14)/5)*0.5</f>
        <v>0.8</v>
      </c>
      <c r="O14" s="6">
        <f>L14+J14+F14</f>
        <v>3.0125000000000002</v>
      </c>
      <c r="P14" s="6">
        <f>INT(O14*10)/10+IF(MOD(O14*10,1)&gt;=0.5,0.1,0)</f>
        <v>3</v>
      </c>
      <c r="Q14" s="1" t="str">
        <f>IF(O14&lt;3,3-O14,"No aplica")</f>
        <v>No aplica</v>
      </c>
    </row>
    <row r="15" spans="1:17">
      <c r="A15" s="32" t="s">
        <v>38</v>
      </c>
      <c r="B15" s="33"/>
      <c r="C15" s="32" t="s">
        <v>39</v>
      </c>
      <c r="D15" s="33"/>
      <c r="E15" s="5">
        <v>5</v>
      </c>
      <c r="F15" s="1">
        <f t="shared" si="0"/>
        <v>0.25</v>
      </c>
      <c r="G15" s="1">
        <v>5</v>
      </c>
      <c r="H15" s="1">
        <v>4</v>
      </c>
      <c r="I15" s="1">
        <v>4.5</v>
      </c>
      <c r="J15" s="5">
        <f t="shared" si="1"/>
        <v>2.25</v>
      </c>
      <c r="K15" s="1">
        <v>5</v>
      </c>
      <c r="L15" s="6">
        <f t="shared" si="2"/>
        <v>2.25</v>
      </c>
      <c r="M15" s="6"/>
      <c r="N15" s="6">
        <f>(SUM(M15:M15)/5)*0.5</f>
        <v>0</v>
      </c>
      <c r="O15" s="6">
        <f>L15+J15+F15</f>
        <v>4.75</v>
      </c>
      <c r="P15" s="6">
        <f>INT(O15*10)/10+IF(MOD(O15*10,1)&gt;=0.5,0.1,0)</f>
        <v>4.8</v>
      </c>
      <c r="Q15" s="1" t="str">
        <f>IF(O15&lt;3,3-O15,"No aplica")</f>
        <v>No aplica</v>
      </c>
    </row>
    <row r="16" spans="1:17">
      <c r="A16" s="32" t="s">
        <v>40</v>
      </c>
      <c r="B16" s="33"/>
      <c r="C16" s="32" t="s">
        <v>41</v>
      </c>
      <c r="D16" s="33"/>
      <c r="E16" s="5">
        <v>0</v>
      </c>
      <c r="F16" s="1">
        <f t="shared" si="0"/>
        <v>0</v>
      </c>
      <c r="G16" s="1">
        <v>5</v>
      </c>
      <c r="H16" s="1">
        <v>4.5</v>
      </c>
      <c r="I16" s="1">
        <v>4.7</v>
      </c>
      <c r="J16" s="5">
        <f t="shared" si="1"/>
        <v>2.3666666666666667</v>
      </c>
      <c r="K16" s="1">
        <v>5</v>
      </c>
      <c r="L16" s="6">
        <f t="shared" si="2"/>
        <v>2.25</v>
      </c>
      <c r="M16" s="6"/>
      <c r="N16" s="6">
        <f>(SUM(M16:M16)/5)*0.5</f>
        <v>0</v>
      </c>
      <c r="O16" s="6">
        <f>L16+J16+F16</f>
        <v>4.6166666666666671</v>
      </c>
      <c r="P16" s="6">
        <f>INT(O16*10)/10+IF(MOD(O16*10,1)&gt;=0.5,0.1,0)</f>
        <v>4.5999999999999996</v>
      </c>
      <c r="Q16" s="1" t="str">
        <f>IF(O16&lt;3,3-O16,"No aplica")</f>
        <v>No aplica</v>
      </c>
    </row>
    <row r="17" spans="1:17">
      <c r="A17" s="27" t="s">
        <v>42</v>
      </c>
      <c r="B17" s="28"/>
      <c r="C17" s="27" t="s">
        <v>43</v>
      </c>
      <c r="D17" s="28"/>
      <c r="E17" s="5">
        <v>4.8</v>
      </c>
      <c r="F17" s="1">
        <f t="shared" si="0"/>
        <v>0.24</v>
      </c>
      <c r="G17" s="1">
        <v>5</v>
      </c>
      <c r="H17" s="1">
        <v>5</v>
      </c>
      <c r="I17" s="1">
        <v>4.8</v>
      </c>
      <c r="J17" s="5">
        <f t="shared" si="1"/>
        <v>2.4666666666666668</v>
      </c>
      <c r="K17" s="1">
        <v>4.5</v>
      </c>
      <c r="L17" s="6">
        <f t="shared" si="2"/>
        <v>2.0249999999999999</v>
      </c>
      <c r="M17" s="6">
        <v>8.5</v>
      </c>
      <c r="N17" s="6">
        <f>(SUM(M17:M17)/5)*0.5</f>
        <v>0.85</v>
      </c>
      <c r="O17" s="6">
        <f>L17+J17+F17</f>
        <v>4.7316666666666674</v>
      </c>
      <c r="P17" s="6">
        <f>INT(O17*10)/10+IF(MOD(O17*10,1)&gt;=0.5,0.1,0)</f>
        <v>4.7</v>
      </c>
      <c r="Q17" s="1" t="str">
        <f>IF(O17&lt;3,3-O17,"No aplica")</f>
        <v>No aplica</v>
      </c>
    </row>
    <row r="18" spans="1:17">
      <c r="A18" s="27" t="s">
        <v>44</v>
      </c>
      <c r="B18" s="28"/>
      <c r="C18" s="27" t="s">
        <v>45</v>
      </c>
      <c r="D18" s="28"/>
      <c r="E18" s="5">
        <v>5</v>
      </c>
      <c r="F18" s="1">
        <f t="shared" si="0"/>
        <v>0.25</v>
      </c>
      <c r="G18" s="1">
        <v>5</v>
      </c>
      <c r="H18" s="1">
        <v>4</v>
      </c>
      <c r="I18" s="1">
        <v>4.5</v>
      </c>
      <c r="J18" s="5">
        <f t="shared" si="1"/>
        <v>2.25</v>
      </c>
      <c r="K18" s="1">
        <v>5</v>
      </c>
      <c r="L18" s="6">
        <f t="shared" si="2"/>
        <v>2.25</v>
      </c>
      <c r="M18" s="6">
        <v>4</v>
      </c>
      <c r="N18" s="6">
        <f>(SUM(M18:M18)/5)*0.5</f>
        <v>0.4</v>
      </c>
      <c r="O18" s="6">
        <f>L18+J18+F18</f>
        <v>4.75</v>
      </c>
      <c r="P18" s="6">
        <f>INT(O18*10)/10+IF(MOD(O18*10,1)&gt;=0.5,0.1,0)</f>
        <v>4.8</v>
      </c>
      <c r="Q18" s="1" t="str">
        <f>IF(O18&lt;3,3-O18,"No aplica")</f>
        <v>No aplica</v>
      </c>
    </row>
    <row r="19" spans="1:17">
      <c r="A19" s="27" t="s">
        <v>46</v>
      </c>
      <c r="B19" s="28"/>
      <c r="C19" s="27" t="s">
        <v>47</v>
      </c>
      <c r="D19" s="28"/>
      <c r="E19" s="5">
        <v>4.8</v>
      </c>
      <c r="F19" s="1">
        <f t="shared" si="0"/>
        <v>0.24</v>
      </c>
      <c r="G19" s="1">
        <v>5</v>
      </c>
      <c r="H19" s="1">
        <v>5</v>
      </c>
      <c r="I19" s="1">
        <v>4.8</v>
      </c>
      <c r="J19" s="5">
        <f t="shared" si="1"/>
        <v>2.4666666666666668</v>
      </c>
      <c r="K19" s="1">
        <v>5</v>
      </c>
      <c r="L19" s="6">
        <f t="shared" si="2"/>
        <v>2.25</v>
      </c>
      <c r="M19" s="6">
        <v>8</v>
      </c>
      <c r="N19" s="6">
        <f>(SUM(M19:M19)/5)*0.5</f>
        <v>0.8</v>
      </c>
      <c r="O19" s="6">
        <f>L19+J19+F19</f>
        <v>4.956666666666667</v>
      </c>
      <c r="P19" s="6">
        <f>INT(O19*10)/10+IF(MOD(O19*10,1)&gt;=0.5,0.1,0)</f>
        <v>5</v>
      </c>
      <c r="Q19" s="1" t="str">
        <f>IF(O19&lt;3,3-O19,"No aplica")</f>
        <v>No aplica</v>
      </c>
    </row>
    <row r="20" spans="1:17">
      <c r="A20" s="27" t="s">
        <v>48</v>
      </c>
      <c r="B20" s="28"/>
      <c r="C20" s="27" t="s">
        <v>49</v>
      </c>
      <c r="D20" s="28"/>
      <c r="E20" s="5">
        <v>4.25</v>
      </c>
      <c r="F20" s="1">
        <f t="shared" si="0"/>
        <v>0.21250000000000002</v>
      </c>
      <c r="G20" s="1">
        <v>5</v>
      </c>
      <c r="H20" s="1">
        <v>4.5999999999999996</v>
      </c>
      <c r="I20" s="1">
        <v>4.5</v>
      </c>
      <c r="J20" s="5">
        <f t="shared" si="1"/>
        <v>2.35</v>
      </c>
      <c r="K20" s="1">
        <v>1</v>
      </c>
      <c r="L20" s="6">
        <f t="shared" si="2"/>
        <v>0.45</v>
      </c>
      <c r="M20" s="6"/>
      <c r="N20" s="6">
        <f>(SUM(M20:M20)/5)*0.5</f>
        <v>0</v>
      </c>
      <c r="O20" s="6">
        <f>L20+J20+F20</f>
        <v>3.0125000000000002</v>
      </c>
      <c r="P20" s="6">
        <f>INT(O20*10)/10+IF(MOD(O20*10,1)&gt;=0.5,0.1,0)</f>
        <v>3</v>
      </c>
      <c r="Q20" s="1" t="str">
        <f>IF(O20&lt;3,3-O20,"No aplica")</f>
        <v>No aplica</v>
      </c>
    </row>
    <row r="21" spans="1:17">
      <c r="A21" s="27" t="s">
        <v>50</v>
      </c>
      <c r="B21" s="28"/>
      <c r="C21" s="27" t="s">
        <v>51</v>
      </c>
      <c r="D21" s="28"/>
      <c r="E21" s="5">
        <v>4.5</v>
      </c>
      <c r="F21" s="1">
        <f t="shared" si="0"/>
        <v>0.22500000000000001</v>
      </c>
      <c r="G21" s="1">
        <v>5</v>
      </c>
      <c r="H21" s="1">
        <v>0</v>
      </c>
      <c r="I21" s="1">
        <v>3.8</v>
      </c>
      <c r="J21" s="5">
        <f t="shared" si="1"/>
        <v>1.4666666666666668</v>
      </c>
      <c r="K21" s="1">
        <v>4.3</v>
      </c>
      <c r="L21" s="6">
        <f t="shared" si="2"/>
        <v>1.9350000000000001</v>
      </c>
      <c r="M21" s="6"/>
      <c r="N21" s="6">
        <f>(SUM(M21:M21)/5)*0.5</f>
        <v>0</v>
      </c>
      <c r="O21" s="6">
        <f>L21+J21+F21</f>
        <v>3.6266666666666669</v>
      </c>
      <c r="P21" s="6">
        <f>INT(O21*10)/10+IF(MOD(O21*10,1)&gt;=0.5,0.1,0)</f>
        <v>3.6</v>
      </c>
      <c r="Q21" s="1" t="str">
        <f>IF(O21&lt;3,3-O21,"No aplica")</f>
        <v>No aplica</v>
      </c>
    </row>
    <row r="22" spans="1:17">
      <c r="A22" s="27" t="s">
        <v>52</v>
      </c>
      <c r="B22" s="28"/>
      <c r="C22" s="27" t="s">
        <v>53</v>
      </c>
      <c r="D22" s="28"/>
      <c r="E22" s="5">
        <v>4.8</v>
      </c>
      <c r="F22" s="1">
        <f t="shared" si="0"/>
        <v>0.24</v>
      </c>
      <c r="G22" s="1">
        <v>5</v>
      </c>
      <c r="H22" s="1">
        <v>5</v>
      </c>
      <c r="I22" s="1">
        <v>4.8</v>
      </c>
      <c r="J22" s="5">
        <f t="shared" si="1"/>
        <v>2.4666666666666668</v>
      </c>
      <c r="K22" s="1">
        <v>5</v>
      </c>
      <c r="L22" s="6">
        <f t="shared" si="2"/>
        <v>2.25</v>
      </c>
      <c r="M22" s="6">
        <v>8</v>
      </c>
      <c r="N22" s="6">
        <f>(SUM(M22:M22)/5)*0.5</f>
        <v>0.8</v>
      </c>
      <c r="O22" s="6">
        <f>L22+J22+F22</f>
        <v>4.956666666666667</v>
      </c>
      <c r="P22" s="6">
        <f>INT(O22*10)/10+IF(MOD(O22*10,1)&gt;=0.5,0.1,0)</f>
        <v>5</v>
      </c>
      <c r="Q22" s="1" t="str">
        <f>IF(O22&lt;3,3-O22,"No aplica")</f>
        <v>No aplica</v>
      </c>
    </row>
    <row r="23" spans="1:17">
      <c r="A23" s="27" t="s">
        <v>54</v>
      </c>
      <c r="B23" s="28"/>
      <c r="C23" s="27" t="s">
        <v>55</v>
      </c>
      <c r="D23" s="28"/>
      <c r="E23" s="5">
        <v>4.4000000000000004</v>
      </c>
      <c r="F23" s="1">
        <f t="shared" si="0"/>
        <v>0.22000000000000003</v>
      </c>
      <c r="G23" s="1">
        <v>5</v>
      </c>
      <c r="H23" s="1">
        <v>4.9000000000000004</v>
      </c>
      <c r="I23" s="1">
        <v>5</v>
      </c>
      <c r="J23" s="5">
        <f t="shared" si="1"/>
        <v>2.4833333333333334</v>
      </c>
      <c r="K23" s="1">
        <v>4</v>
      </c>
      <c r="L23" s="6">
        <f t="shared" si="2"/>
        <v>1.8</v>
      </c>
      <c r="M23" s="6"/>
      <c r="N23" s="6">
        <f>(SUM(M23:M23)/5)*0.5</f>
        <v>0</v>
      </c>
      <c r="O23" s="6">
        <f>L23+J23+F23</f>
        <v>4.503333333333333</v>
      </c>
      <c r="P23" s="6">
        <f>INT(O23*10)/10+IF(MOD(O23*10,1)&gt;=0.5,0.1,0)</f>
        <v>4.5</v>
      </c>
      <c r="Q23" s="1" t="str">
        <f>IF(O23&lt;3,3-O23,"No aplica")</f>
        <v>No aplica</v>
      </c>
    </row>
    <row r="24" spans="1:17">
      <c r="A24" s="27" t="s">
        <v>56</v>
      </c>
      <c r="B24" s="28"/>
      <c r="C24" s="27" t="s">
        <v>57</v>
      </c>
      <c r="D24" s="28"/>
      <c r="E24" s="5">
        <v>5</v>
      </c>
      <c r="F24" s="1">
        <f t="shared" si="0"/>
        <v>0.25</v>
      </c>
      <c r="G24" s="1">
        <v>5</v>
      </c>
      <c r="H24" s="1">
        <v>4.5</v>
      </c>
      <c r="I24" s="1">
        <v>5</v>
      </c>
      <c r="J24" s="5">
        <f t="shared" si="1"/>
        <v>2.4166666666666665</v>
      </c>
      <c r="K24" s="1">
        <v>4.9000000000000004</v>
      </c>
      <c r="L24" s="6">
        <f t="shared" si="2"/>
        <v>2.2050000000000001</v>
      </c>
      <c r="M24" s="6">
        <v>9</v>
      </c>
      <c r="N24" s="6">
        <f>(SUM(M24:M24)/5)*0.5</f>
        <v>0.9</v>
      </c>
      <c r="O24" s="6">
        <f>L24+J24+F24</f>
        <v>4.8716666666666661</v>
      </c>
      <c r="P24" s="6">
        <f>INT(O24*10)/10+IF(MOD(O24*10,1)&gt;=0.5,0.1,0)</f>
        <v>4.8999999999999995</v>
      </c>
      <c r="Q24" s="1" t="str">
        <f>IF(O24&lt;3,3-O24,"No aplica")</f>
        <v>No aplica</v>
      </c>
    </row>
    <row r="25" spans="1:17">
      <c r="A25" s="27" t="s">
        <v>58</v>
      </c>
      <c r="B25" s="28"/>
      <c r="C25" s="27" t="s">
        <v>59</v>
      </c>
      <c r="D25" s="28"/>
      <c r="E25" s="5">
        <v>4.8</v>
      </c>
      <c r="F25" s="1">
        <f t="shared" si="0"/>
        <v>0.24</v>
      </c>
      <c r="G25" s="1">
        <v>5</v>
      </c>
      <c r="H25" s="1">
        <v>4.5</v>
      </c>
      <c r="I25" s="1">
        <v>4.7</v>
      </c>
      <c r="J25" s="5">
        <f t="shared" si="1"/>
        <v>2.3666666666666667</v>
      </c>
      <c r="K25" s="1">
        <v>5</v>
      </c>
      <c r="L25" s="6">
        <f t="shared" si="2"/>
        <v>2.25</v>
      </c>
      <c r="M25" s="6">
        <v>5</v>
      </c>
      <c r="N25" s="6">
        <f>(SUM(M25:M25)/5)*0.5</f>
        <v>0.5</v>
      </c>
      <c r="O25" s="6">
        <f>L25+J25+F25</f>
        <v>4.8566666666666674</v>
      </c>
      <c r="P25" s="6">
        <f>INT(O25*10)/10+IF(MOD(O25*10,1)&gt;=0.5,0.1,0)</f>
        <v>4.8999999999999995</v>
      </c>
      <c r="Q25" s="1" t="str">
        <f>IF(O25&lt;3,3-O25,"No aplica")</f>
        <v>No aplica</v>
      </c>
    </row>
    <row r="26" spans="1:17">
      <c r="A26" s="27" t="s">
        <v>60</v>
      </c>
      <c r="B26" s="28"/>
      <c r="C26" s="27" t="s">
        <v>61</v>
      </c>
      <c r="D26" s="28"/>
      <c r="E26" s="5">
        <v>4.5999999999999996</v>
      </c>
      <c r="F26" s="1">
        <f t="shared" si="0"/>
        <v>0.22999999999999998</v>
      </c>
      <c r="G26" s="1">
        <v>5</v>
      </c>
      <c r="H26" s="1">
        <v>4.5999999999999996</v>
      </c>
      <c r="I26" s="1">
        <v>4.8</v>
      </c>
      <c r="J26" s="5">
        <f t="shared" si="1"/>
        <v>2.4</v>
      </c>
      <c r="K26" s="1">
        <v>4.7</v>
      </c>
      <c r="L26" s="6">
        <f t="shared" si="2"/>
        <v>2.1150000000000002</v>
      </c>
      <c r="M26" s="6">
        <v>9</v>
      </c>
      <c r="N26" s="6">
        <f>(SUM(M26:M26)/5)*0.5</f>
        <v>0.9</v>
      </c>
      <c r="O26" s="6">
        <f>L26+J26+F26</f>
        <v>4.745000000000001</v>
      </c>
      <c r="P26" s="6">
        <f>INT(O26*10)/10+IF(MOD(O26*10,1)&gt;=0.5,0.1,0)</f>
        <v>4.7</v>
      </c>
      <c r="Q26" s="1" t="str">
        <f>IF(O26&lt;3,3-O26,"No aplica")</f>
        <v>No aplica</v>
      </c>
    </row>
    <row r="27" spans="1:17">
      <c r="A27" s="27" t="s">
        <v>62</v>
      </c>
      <c r="B27" s="28"/>
      <c r="C27" s="27" t="s">
        <v>63</v>
      </c>
      <c r="D27" s="28"/>
      <c r="E27" s="5">
        <v>5</v>
      </c>
      <c r="F27" s="1">
        <f t="shared" si="0"/>
        <v>0.25</v>
      </c>
      <c r="G27" s="1">
        <v>5</v>
      </c>
      <c r="H27" s="1">
        <v>5</v>
      </c>
      <c r="I27" s="1">
        <v>4.7</v>
      </c>
      <c r="J27" s="5">
        <f t="shared" si="1"/>
        <v>2.4499999999999997</v>
      </c>
      <c r="K27" s="1">
        <v>4.9000000000000004</v>
      </c>
      <c r="L27" s="6">
        <f t="shared" si="2"/>
        <v>2.2050000000000001</v>
      </c>
      <c r="M27" s="6">
        <v>11</v>
      </c>
      <c r="N27" s="6">
        <f>(SUM(M27:M27)/5)*0.5</f>
        <v>1.1000000000000001</v>
      </c>
      <c r="O27" s="6">
        <f>L27+J27+F27</f>
        <v>4.9049999999999994</v>
      </c>
      <c r="P27" s="6">
        <f>INT(O27*10)/10+IF(MOD(O27*10,1)&gt;=0.5,0.1,0)</f>
        <v>4.9000000000000004</v>
      </c>
      <c r="Q27" s="1" t="str">
        <f>IF(O27&lt;3,3-O27,"No aplica")</f>
        <v>No aplica</v>
      </c>
    </row>
    <row r="28" spans="1:17">
      <c r="A28" s="27" t="s">
        <v>64</v>
      </c>
      <c r="B28" s="28"/>
      <c r="C28" s="27" t="s">
        <v>65</v>
      </c>
      <c r="D28" s="28"/>
      <c r="E28" s="5">
        <v>4.8</v>
      </c>
      <c r="F28" s="1">
        <f t="shared" si="0"/>
        <v>0.24</v>
      </c>
      <c r="G28" s="1">
        <v>5</v>
      </c>
      <c r="H28" s="1">
        <v>5</v>
      </c>
      <c r="I28" s="1">
        <v>4.8</v>
      </c>
      <c r="J28" s="5">
        <f t="shared" si="1"/>
        <v>2.4666666666666668</v>
      </c>
      <c r="K28" s="1">
        <v>4.5</v>
      </c>
      <c r="L28" s="6">
        <f t="shared" si="2"/>
        <v>2.0249999999999999</v>
      </c>
      <c r="M28" s="6">
        <v>8</v>
      </c>
      <c r="N28" s="6">
        <f>(SUM(M28:M28)/5)*0.5</f>
        <v>0.8</v>
      </c>
      <c r="O28" s="6">
        <f>L28+J28+F28</f>
        <v>4.7316666666666674</v>
      </c>
      <c r="P28" s="6">
        <f>INT(O28*10)/10+IF(MOD(O28*10,1)&gt;=0.5,0.1,0)</f>
        <v>4.7</v>
      </c>
      <c r="Q28" s="1" t="str">
        <f>IF(O28&lt;3,3-O28,"No aplica")</f>
        <v>No aplica</v>
      </c>
    </row>
    <row r="29" spans="1:17">
      <c r="A29" s="27" t="s">
        <v>66</v>
      </c>
      <c r="B29" s="28"/>
      <c r="C29" s="27" t="s">
        <v>67</v>
      </c>
      <c r="D29" s="28"/>
      <c r="E29" s="5">
        <v>4.3</v>
      </c>
      <c r="F29" s="1">
        <f t="shared" si="0"/>
        <v>0.215</v>
      </c>
      <c r="G29" s="1">
        <v>5</v>
      </c>
      <c r="H29" s="1">
        <v>4.9000000000000004</v>
      </c>
      <c r="I29" s="1">
        <v>5</v>
      </c>
      <c r="J29" s="5">
        <f t="shared" si="1"/>
        <v>2.4833333333333334</v>
      </c>
      <c r="K29" s="1">
        <v>5</v>
      </c>
      <c r="L29" s="6">
        <f t="shared" si="2"/>
        <v>2.25</v>
      </c>
      <c r="M29" s="6">
        <v>11</v>
      </c>
      <c r="N29" s="6">
        <f>(SUM(M29:M29)/5)*0.5</f>
        <v>1.1000000000000001</v>
      </c>
      <c r="O29" s="6">
        <f>L29+J29+F29</f>
        <v>4.9483333333333333</v>
      </c>
      <c r="P29" s="6">
        <f>INT(O29*10)/10+IF(MOD(O29*10,1)&gt;=0.5,0.1,0)</f>
        <v>4.9000000000000004</v>
      </c>
      <c r="Q29" s="1" t="str">
        <f>IF(O29&lt;3,3-O29,"No aplica")</f>
        <v>No aplica</v>
      </c>
    </row>
    <row r="30" spans="1:17">
      <c r="A30" s="27" t="s">
        <v>68</v>
      </c>
      <c r="B30" s="28"/>
      <c r="C30" s="27" t="s">
        <v>69</v>
      </c>
      <c r="D30" s="28"/>
      <c r="E30" s="5">
        <v>4.5</v>
      </c>
      <c r="F30" s="1">
        <f t="shared" si="0"/>
        <v>0.22500000000000001</v>
      </c>
      <c r="G30" s="1">
        <v>5</v>
      </c>
      <c r="H30" s="1">
        <v>4.5999999999999996</v>
      </c>
      <c r="I30" s="1">
        <v>4.5</v>
      </c>
      <c r="J30" s="5">
        <f t="shared" si="1"/>
        <v>2.35</v>
      </c>
      <c r="K30" s="1">
        <v>4.3</v>
      </c>
      <c r="L30" s="6">
        <f t="shared" si="2"/>
        <v>1.9350000000000001</v>
      </c>
      <c r="M30" s="6">
        <v>8</v>
      </c>
      <c r="N30" s="6">
        <f>(SUM(M30:M30)/5)*0.5</f>
        <v>0.8</v>
      </c>
      <c r="O30" s="6">
        <f>L30+J30+F30</f>
        <v>4.51</v>
      </c>
      <c r="P30" s="6">
        <f>INT(O30*10)/10+IF(MOD(O30*10,1)&gt;=0.5,0.1,0)</f>
        <v>4.5</v>
      </c>
      <c r="Q30" s="1" t="str">
        <f>IF(O30&lt;3,3-O30,"No aplica")</f>
        <v>No aplica</v>
      </c>
    </row>
    <row r="31" spans="1:17">
      <c r="A31" s="27" t="s">
        <v>70</v>
      </c>
      <c r="B31" s="28"/>
      <c r="C31" s="27" t="s">
        <v>71</v>
      </c>
      <c r="D31" s="28"/>
      <c r="E31" s="5">
        <v>5</v>
      </c>
      <c r="F31" s="1">
        <f t="shared" si="0"/>
        <v>0.25</v>
      </c>
      <c r="G31" s="1">
        <v>5</v>
      </c>
      <c r="H31" s="1">
        <v>4.8</v>
      </c>
      <c r="I31" s="1">
        <v>4.7</v>
      </c>
      <c r="J31" s="5">
        <f t="shared" si="1"/>
        <v>2.4166666666666665</v>
      </c>
      <c r="K31" s="1">
        <v>4.4000000000000004</v>
      </c>
      <c r="L31" s="6">
        <f t="shared" si="2"/>
        <v>1.9800000000000002</v>
      </c>
      <c r="M31" s="6">
        <v>5</v>
      </c>
      <c r="N31" s="6">
        <f>(SUM(M31:M31)/5)*0.5</f>
        <v>0.5</v>
      </c>
      <c r="O31" s="6">
        <f>L31+J31+F31</f>
        <v>4.6466666666666665</v>
      </c>
      <c r="P31" s="6">
        <f>INT(O31*10)/10+IF(MOD(O31*10,1)&gt;=0.5,0.1,0)</f>
        <v>4.5999999999999996</v>
      </c>
      <c r="Q31" s="1" t="str">
        <f>IF(O31&lt;3,3-O31,"No aplica")</f>
        <v>No aplica</v>
      </c>
    </row>
    <row r="32" spans="1:17">
      <c r="A32" s="27" t="s">
        <v>72</v>
      </c>
      <c r="B32" s="28"/>
      <c r="C32" s="27" t="s">
        <v>73</v>
      </c>
      <c r="D32" s="28"/>
      <c r="E32" s="5">
        <v>4</v>
      </c>
      <c r="F32" s="1">
        <f t="shared" si="0"/>
        <v>0.2</v>
      </c>
      <c r="G32" s="1">
        <v>5</v>
      </c>
      <c r="H32" s="1">
        <v>4.5999999999999996</v>
      </c>
      <c r="I32" s="1">
        <v>4.5</v>
      </c>
      <c r="J32" s="5">
        <f t="shared" si="1"/>
        <v>2.35</v>
      </c>
      <c r="K32" s="1">
        <v>4.3</v>
      </c>
      <c r="L32" s="6">
        <f t="shared" si="2"/>
        <v>1.9350000000000001</v>
      </c>
      <c r="M32" s="6">
        <v>8</v>
      </c>
      <c r="N32" s="6">
        <f>(SUM(M32:M32)/5)*0.5</f>
        <v>0.8</v>
      </c>
      <c r="O32" s="6">
        <f>L32+J32+F32</f>
        <v>4.4850000000000003</v>
      </c>
      <c r="P32" s="6">
        <f>INT(O32*10)/10+IF(MOD(O32*10,1)&gt;=0.5,0.1,0)</f>
        <v>4.5</v>
      </c>
      <c r="Q32" s="1" t="str">
        <f>IF(O32&lt;3,3-O32,"No aplica")</f>
        <v>No aplica</v>
      </c>
    </row>
    <row r="33" spans="1:17">
      <c r="A33" s="32" t="s">
        <v>74</v>
      </c>
      <c r="B33" s="33"/>
      <c r="C33" s="32" t="s">
        <v>75</v>
      </c>
      <c r="D33" s="33"/>
      <c r="E33" s="5">
        <v>3</v>
      </c>
      <c r="F33" s="1">
        <f t="shared" si="0"/>
        <v>0.15000000000000002</v>
      </c>
      <c r="G33" s="1">
        <v>5</v>
      </c>
      <c r="H33" s="1">
        <v>4.5999999999999996</v>
      </c>
      <c r="I33" s="1">
        <v>3.9</v>
      </c>
      <c r="J33" s="5">
        <f t="shared" si="1"/>
        <v>2.25</v>
      </c>
      <c r="K33" s="1"/>
      <c r="L33" s="6">
        <f t="shared" si="2"/>
        <v>0</v>
      </c>
      <c r="M33" s="6"/>
      <c r="N33" s="6">
        <f>(SUM(M33:M33)/5)*0.5</f>
        <v>0</v>
      </c>
      <c r="O33" s="6">
        <f>L33+J33+F33</f>
        <v>2.4</v>
      </c>
      <c r="P33" s="6">
        <f>INT(O33*10)/10+IF(MOD(O33*10,1)&gt;=0.5,0.1,0)</f>
        <v>2.4</v>
      </c>
      <c r="Q33" s="1">
        <f>IF(O33&lt;3,3-O33,"No aplica")</f>
        <v>0.60000000000000009</v>
      </c>
    </row>
    <row r="34" spans="1:17">
      <c r="A34" s="27" t="s">
        <v>76</v>
      </c>
      <c r="B34" s="28"/>
      <c r="C34" s="27" t="s">
        <v>77</v>
      </c>
      <c r="D34" s="28"/>
      <c r="E34" s="5">
        <v>5</v>
      </c>
      <c r="F34" s="1">
        <f t="shared" si="0"/>
        <v>0.25</v>
      </c>
      <c r="G34" s="1">
        <v>5</v>
      </c>
      <c r="H34" s="1">
        <v>4.8</v>
      </c>
      <c r="I34" s="1">
        <v>4.7</v>
      </c>
      <c r="J34" s="5">
        <f t="shared" si="1"/>
        <v>2.4166666666666665</v>
      </c>
      <c r="K34" s="1">
        <v>4.4000000000000004</v>
      </c>
      <c r="L34" s="6">
        <f t="shared" si="2"/>
        <v>1.9800000000000002</v>
      </c>
      <c r="M34" s="6">
        <v>10</v>
      </c>
      <c r="N34" s="6">
        <f>(SUM(M34:M34)/5)*0.5</f>
        <v>1</v>
      </c>
      <c r="O34" s="6">
        <f>L34+J34+F34</f>
        <v>4.6466666666666665</v>
      </c>
      <c r="P34" s="6">
        <f>INT(O34*10)/10+IF(MOD(O34*10,1)&gt;=0.5,0.1,0)</f>
        <v>4.5999999999999996</v>
      </c>
      <c r="Q34" s="1" t="str">
        <f>IF(O34&lt;3,3-O34,"No aplica")</f>
        <v>No aplica</v>
      </c>
    </row>
    <row r="35" spans="1:17">
      <c r="A35" s="27" t="s">
        <v>78</v>
      </c>
      <c r="B35" s="28"/>
      <c r="C35" s="27" t="s">
        <v>79</v>
      </c>
      <c r="D35" s="28"/>
      <c r="E35" s="5">
        <v>0.9</v>
      </c>
      <c r="F35" s="1">
        <f t="shared" si="0"/>
        <v>4.5000000000000005E-2</v>
      </c>
      <c r="G35" s="1">
        <v>5</v>
      </c>
      <c r="H35" s="1">
        <v>4.8</v>
      </c>
      <c r="I35" s="1">
        <v>4.7</v>
      </c>
      <c r="J35" s="5">
        <f t="shared" si="1"/>
        <v>2.4166666666666665</v>
      </c>
      <c r="K35" s="1">
        <v>5</v>
      </c>
      <c r="L35" s="6">
        <f t="shared" si="2"/>
        <v>2.25</v>
      </c>
      <c r="M35" s="6"/>
      <c r="N35" s="6">
        <f>(SUM(M35:M35)/5)*0.5</f>
        <v>0</v>
      </c>
      <c r="O35" s="6">
        <f>L35+J35+F35</f>
        <v>4.711666666666666</v>
      </c>
      <c r="P35" s="6">
        <f>INT(O35*10)/10+IF(MOD(O35*10,1)&gt;=0.5,0.1,0)</f>
        <v>4.7</v>
      </c>
      <c r="Q35" s="1" t="str">
        <f>IF(O35&lt;3,3-O35,"No aplica")</f>
        <v>No aplica</v>
      </c>
    </row>
    <row r="36" spans="1:17">
      <c r="A36" s="27" t="s">
        <v>80</v>
      </c>
      <c r="B36" s="28"/>
      <c r="C36" s="27" t="s">
        <v>81</v>
      </c>
      <c r="D36" s="28"/>
      <c r="E36" s="5">
        <v>5</v>
      </c>
      <c r="F36" s="1">
        <f t="shared" si="0"/>
        <v>0.25</v>
      </c>
      <c r="G36" s="1">
        <v>5</v>
      </c>
      <c r="H36" s="1">
        <v>4.5999999999999996</v>
      </c>
      <c r="I36" s="1">
        <v>4.8</v>
      </c>
      <c r="J36" s="5">
        <f t="shared" si="1"/>
        <v>2.4</v>
      </c>
      <c r="K36" s="1">
        <v>5</v>
      </c>
      <c r="L36" s="6">
        <f t="shared" si="2"/>
        <v>2.25</v>
      </c>
      <c r="M36" s="6">
        <v>9</v>
      </c>
      <c r="N36" s="6">
        <f>(SUM(M36:M36)/5)*0.5</f>
        <v>0.9</v>
      </c>
      <c r="O36" s="6">
        <f>L36+J36+F36</f>
        <v>4.9000000000000004</v>
      </c>
      <c r="P36" s="6">
        <f>INT(O36*10)/10+IF(MOD(O36*10,1)&gt;=0.5,0.1,0)</f>
        <v>4.9000000000000004</v>
      </c>
      <c r="Q36" s="1" t="str">
        <f>IF(O36&lt;3,3-O36,"No aplica")</f>
        <v>No aplica</v>
      </c>
    </row>
    <row r="37" spans="1:17">
      <c r="A37" s="27" t="s">
        <v>82</v>
      </c>
      <c r="B37" s="28"/>
      <c r="C37" s="27" t="s">
        <v>83</v>
      </c>
      <c r="D37" s="28"/>
      <c r="E37" s="5">
        <v>5</v>
      </c>
      <c r="F37" s="1">
        <f t="shared" si="0"/>
        <v>0.25</v>
      </c>
      <c r="G37" s="1">
        <v>5</v>
      </c>
      <c r="H37" s="1">
        <v>5</v>
      </c>
      <c r="I37" s="1">
        <v>4.7</v>
      </c>
      <c r="J37" s="5">
        <f t="shared" si="1"/>
        <v>2.4499999999999997</v>
      </c>
      <c r="K37" s="1">
        <v>4.9000000000000004</v>
      </c>
      <c r="L37" s="6">
        <f t="shared" si="2"/>
        <v>2.2050000000000001</v>
      </c>
      <c r="M37" s="6">
        <v>11</v>
      </c>
      <c r="N37" s="6">
        <f>(SUM(M37:M37)/5)*0.5</f>
        <v>1.1000000000000001</v>
      </c>
      <c r="O37" s="6">
        <f>L37+J37+F37</f>
        <v>4.9049999999999994</v>
      </c>
      <c r="P37" s="6">
        <f>INT(O37*10)/10+IF(MOD(O37*10,1)&gt;=0.5,0.1,0)</f>
        <v>4.9000000000000004</v>
      </c>
      <c r="Q37" s="1" t="str">
        <f>IF(O37&lt;3,3-O37,"No aplica")</f>
        <v>No aplica</v>
      </c>
    </row>
    <row r="38" spans="1:17">
      <c r="A38" s="27" t="s">
        <v>84</v>
      </c>
      <c r="B38" s="28"/>
      <c r="C38" s="27" t="s">
        <v>85</v>
      </c>
      <c r="D38" s="28"/>
      <c r="E38" s="5">
        <v>4.3</v>
      </c>
      <c r="F38" s="1">
        <f t="shared" si="0"/>
        <v>0.215</v>
      </c>
      <c r="G38" s="1">
        <v>5</v>
      </c>
      <c r="H38" s="1">
        <v>4.9000000000000004</v>
      </c>
      <c r="I38" s="1">
        <v>5</v>
      </c>
      <c r="J38" s="5">
        <f t="shared" si="1"/>
        <v>2.4833333333333334</v>
      </c>
      <c r="K38" s="1">
        <v>5</v>
      </c>
      <c r="L38" s="6">
        <f t="shared" si="2"/>
        <v>2.25</v>
      </c>
      <c r="M38" s="6"/>
      <c r="N38" s="6">
        <f>(SUM(M38:M38)/5)*0.5</f>
        <v>0</v>
      </c>
      <c r="O38" s="6">
        <f>L38+J38+F38</f>
        <v>4.9483333333333333</v>
      </c>
      <c r="P38" s="6">
        <f>INT(O38*10)/10+IF(MOD(O38*10,1)&gt;=0.5,0.1,0)</f>
        <v>4.9000000000000004</v>
      </c>
      <c r="Q38" s="1" t="str">
        <f>IF(O38&lt;3,3-O38,"No aplica")</f>
        <v>No aplica</v>
      </c>
    </row>
    <row r="39" spans="1:17">
      <c r="A39" s="27" t="s">
        <v>86</v>
      </c>
      <c r="B39" s="28"/>
      <c r="C39" s="27" t="s">
        <v>87</v>
      </c>
      <c r="D39" s="28"/>
      <c r="E39" s="5">
        <v>4.5999999999999996</v>
      </c>
      <c r="F39" s="1">
        <f t="shared" si="0"/>
        <v>0.22999999999999998</v>
      </c>
      <c r="G39" s="1">
        <v>5</v>
      </c>
      <c r="H39" s="1">
        <v>4.5999999999999996</v>
      </c>
      <c r="I39" s="1">
        <v>4.8</v>
      </c>
      <c r="J39" s="5">
        <f t="shared" si="1"/>
        <v>2.4</v>
      </c>
      <c r="K39" s="1">
        <v>4.7</v>
      </c>
      <c r="L39" s="6">
        <f t="shared" si="2"/>
        <v>2.1150000000000002</v>
      </c>
      <c r="M39" s="6">
        <v>8</v>
      </c>
      <c r="N39" s="6">
        <f>(SUM(M39:M39)/5)*0.5</f>
        <v>0.8</v>
      </c>
      <c r="O39" s="6">
        <f>L39+J39+F39</f>
        <v>4.745000000000001</v>
      </c>
      <c r="P39" s="6">
        <f>INT(O39*10)/10+IF(MOD(O39*10,1)&gt;=0.5,0.1,0)</f>
        <v>4.7</v>
      </c>
      <c r="Q39" s="1" t="str">
        <f>IF(O39&lt;3,3-O39,"No aplica")</f>
        <v>No aplica</v>
      </c>
    </row>
    <row r="40" spans="1:17">
      <c r="A40" s="27" t="s">
        <v>88</v>
      </c>
      <c r="B40" s="28"/>
      <c r="C40" s="27" t="s">
        <v>89</v>
      </c>
      <c r="D40" s="28"/>
      <c r="E40" s="13">
        <v>4.9000000000000004</v>
      </c>
      <c r="F40" s="1">
        <f t="shared" si="0"/>
        <v>0.24500000000000002</v>
      </c>
      <c r="G40" s="1">
        <v>5</v>
      </c>
      <c r="H40" s="1">
        <v>4.5999999999999996</v>
      </c>
      <c r="I40" s="1">
        <v>4.8</v>
      </c>
      <c r="J40" s="5">
        <f t="shared" si="1"/>
        <v>2.4</v>
      </c>
      <c r="K40" s="1">
        <v>4.0999999999999996</v>
      </c>
      <c r="L40" s="6">
        <f t="shared" si="2"/>
        <v>1.845</v>
      </c>
      <c r="M40" s="6">
        <v>10</v>
      </c>
      <c r="N40" s="6">
        <f>(SUM(M40:M40)/5)*0.5</f>
        <v>1</v>
      </c>
      <c r="O40" s="6">
        <f>L40+J40+F40</f>
        <v>4.49</v>
      </c>
      <c r="P40" s="6">
        <f>INT(O40*10)/10+IF(MOD(O40*10,1)&gt;=0.5,0.1,0)</f>
        <v>4.5</v>
      </c>
      <c r="Q40" s="1" t="str">
        <f>IF(O40&lt;3,3-O40,"No aplica")</f>
        <v>No aplica</v>
      </c>
    </row>
    <row r="41" spans="1:17">
      <c r="A41" s="32" t="s">
        <v>90</v>
      </c>
      <c r="B41" s="33"/>
      <c r="C41" s="32" t="s">
        <v>91</v>
      </c>
      <c r="D41" s="33"/>
      <c r="E41" s="5">
        <v>4.9000000000000004</v>
      </c>
      <c r="F41" s="1">
        <f t="shared" si="0"/>
        <v>0.24500000000000002</v>
      </c>
      <c r="G41" s="1">
        <v>5</v>
      </c>
      <c r="H41" s="1">
        <v>4.5</v>
      </c>
      <c r="I41" s="1">
        <v>5</v>
      </c>
      <c r="J41" s="5">
        <f t="shared" si="1"/>
        <v>2.4166666666666665</v>
      </c>
      <c r="K41" s="1">
        <v>4.0999999999999996</v>
      </c>
      <c r="L41" s="6">
        <f t="shared" si="2"/>
        <v>1.845</v>
      </c>
      <c r="M41" s="6">
        <v>6</v>
      </c>
      <c r="N41" s="6">
        <f>(SUM(M41:M41)/5)*0.5</f>
        <v>0.6</v>
      </c>
      <c r="O41" s="6">
        <f>L41+J41+F41</f>
        <v>4.5066666666666668</v>
      </c>
      <c r="P41" s="6">
        <f>INT(O41*10)/10+IF(MOD(O41*10,1)&gt;=0.5,0.1,0)</f>
        <v>4.5</v>
      </c>
      <c r="Q41" s="1" t="str">
        <f>IF(O41&lt;3,3-O41,"No aplica")</f>
        <v>No aplica</v>
      </c>
    </row>
    <row r="42" spans="1:17">
      <c r="A42" s="27" t="s">
        <v>92</v>
      </c>
      <c r="B42" s="28"/>
      <c r="C42" s="27" t="s">
        <v>93</v>
      </c>
      <c r="D42" s="28"/>
      <c r="E42" s="5">
        <v>4.95</v>
      </c>
      <c r="F42" s="1">
        <f t="shared" si="0"/>
        <v>0.24750000000000003</v>
      </c>
      <c r="G42" s="1">
        <v>5</v>
      </c>
      <c r="H42" s="1">
        <v>0</v>
      </c>
      <c r="I42" s="1">
        <v>3.8</v>
      </c>
      <c r="J42" s="5">
        <f t="shared" si="1"/>
        <v>1.4666666666666668</v>
      </c>
      <c r="K42" s="1">
        <v>5</v>
      </c>
      <c r="L42" s="6">
        <f t="shared" si="2"/>
        <v>2.25</v>
      </c>
      <c r="M42" s="6">
        <v>3</v>
      </c>
      <c r="N42" s="6">
        <f>(SUM(M42:M42)/5)*0.5</f>
        <v>0.3</v>
      </c>
      <c r="O42" s="6">
        <f>L42+J42+F42</f>
        <v>3.9641666666666668</v>
      </c>
      <c r="P42" s="6">
        <f>INT(O42*10)/10+IF(MOD(O42*10,1)&gt;=0.5,0.1,0)</f>
        <v>4</v>
      </c>
      <c r="Q42" s="1" t="str">
        <f>IF(O42&lt;3,3-O42,"No aplica")</f>
        <v>No aplica</v>
      </c>
    </row>
    <row r="43" spans="1:17">
      <c r="A43" s="27" t="s">
        <v>94</v>
      </c>
      <c r="B43" s="28"/>
      <c r="C43" s="27" t="s">
        <v>95</v>
      </c>
      <c r="D43" s="28"/>
      <c r="E43" s="5">
        <v>4</v>
      </c>
      <c r="F43" s="1">
        <f t="shared" si="0"/>
        <v>0.2</v>
      </c>
      <c r="G43" s="1">
        <v>5</v>
      </c>
      <c r="H43" s="1">
        <v>0</v>
      </c>
      <c r="I43" s="1">
        <v>3.8</v>
      </c>
      <c r="J43" s="5">
        <f t="shared" si="1"/>
        <v>1.4666666666666668</v>
      </c>
      <c r="K43" s="1">
        <v>4.3</v>
      </c>
      <c r="L43" s="6">
        <f t="shared" si="2"/>
        <v>1.9350000000000001</v>
      </c>
      <c r="M43" s="6"/>
      <c r="N43" s="6">
        <f>(SUM(M43:M43)/5)*0.5</f>
        <v>0</v>
      </c>
      <c r="O43" s="6">
        <f>L43+J43+F43</f>
        <v>3.601666666666667</v>
      </c>
      <c r="P43" s="6">
        <f>INT(O43*10)/10+IF(MOD(O43*10,1)&gt;=0.5,0.1,0)</f>
        <v>3.6</v>
      </c>
      <c r="Q43" s="1" t="str">
        <f>IF(O43&lt;3,3-O43,"No aplica")</f>
        <v>No aplica</v>
      </c>
    </row>
    <row r="44" spans="1:17">
      <c r="A44" s="27" t="s">
        <v>96</v>
      </c>
      <c r="B44" s="28"/>
      <c r="C44" s="27" t="s">
        <v>97</v>
      </c>
      <c r="D44" s="28"/>
      <c r="E44" s="5">
        <v>5</v>
      </c>
      <c r="F44" s="1">
        <f t="shared" si="0"/>
        <v>0.25</v>
      </c>
      <c r="G44" s="1">
        <v>5</v>
      </c>
      <c r="H44" s="1">
        <v>5</v>
      </c>
      <c r="I44" s="1">
        <v>4.7</v>
      </c>
      <c r="J44" s="5">
        <f t="shared" si="1"/>
        <v>2.4499999999999997</v>
      </c>
      <c r="K44" s="1">
        <v>5</v>
      </c>
      <c r="L44" s="6">
        <f t="shared" si="2"/>
        <v>2.25</v>
      </c>
      <c r="M44" s="6">
        <v>9</v>
      </c>
      <c r="N44" s="6">
        <f>(SUM(M44:M44)/5)*0.5</f>
        <v>0.9</v>
      </c>
      <c r="O44" s="6">
        <f>L44+J44+F44</f>
        <v>4.9499999999999993</v>
      </c>
      <c r="P44" s="6">
        <f>INT(O44*10)/10+IF(MOD(O44*10,1)&gt;=0.5,0.1,0)</f>
        <v>4.9000000000000004</v>
      </c>
      <c r="Q44" s="1" t="str">
        <f>IF(O44&lt;3,3-O44,"No aplica")</f>
        <v>No aplica</v>
      </c>
    </row>
    <row r="45" spans="1:17">
      <c r="A45" s="27" t="s">
        <v>98</v>
      </c>
      <c r="B45" s="28"/>
      <c r="C45" s="27" t="s">
        <v>99</v>
      </c>
      <c r="D45" s="28"/>
      <c r="E45" s="5">
        <v>5</v>
      </c>
      <c r="F45" s="1">
        <f t="shared" si="0"/>
        <v>0.25</v>
      </c>
      <c r="G45" s="1">
        <v>5</v>
      </c>
      <c r="H45" s="1">
        <v>4.9000000000000004</v>
      </c>
      <c r="I45" s="1">
        <v>5</v>
      </c>
      <c r="J45" s="5">
        <f t="shared" si="1"/>
        <v>2.4833333333333334</v>
      </c>
      <c r="K45" s="1">
        <v>4.9000000000000004</v>
      </c>
      <c r="L45" s="6">
        <f t="shared" si="2"/>
        <v>2.2050000000000001</v>
      </c>
      <c r="M45" s="6">
        <v>11</v>
      </c>
      <c r="N45" s="6">
        <f>(SUM(M45:M45)/5)*0.5</f>
        <v>1.1000000000000001</v>
      </c>
      <c r="O45" s="6">
        <f>L45+J45+F45</f>
        <v>4.9383333333333335</v>
      </c>
      <c r="P45" s="6">
        <f>INT(O45*10)/10+IF(MOD(O45*10,1)&gt;=0.5,0.1,0)</f>
        <v>4.9000000000000004</v>
      </c>
      <c r="Q45" s="1" t="str">
        <f>IF(O45&lt;3,3-O45,"No aplica")</f>
        <v>No aplica</v>
      </c>
    </row>
    <row r="46" spans="1:17">
      <c r="A46" s="27" t="s">
        <v>100</v>
      </c>
      <c r="B46" s="28"/>
      <c r="C46" s="27" t="s">
        <v>101</v>
      </c>
      <c r="D46" s="28"/>
      <c r="E46" s="5">
        <v>3.3</v>
      </c>
      <c r="F46" s="1">
        <f t="shared" si="0"/>
        <v>0.16500000000000001</v>
      </c>
      <c r="G46" s="1">
        <v>5</v>
      </c>
      <c r="H46" s="1">
        <v>4.5</v>
      </c>
      <c r="I46" s="1">
        <v>4.7</v>
      </c>
      <c r="J46" s="5">
        <f t="shared" si="1"/>
        <v>2.3666666666666667</v>
      </c>
      <c r="K46" s="1">
        <v>3.5</v>
      </c>
      <c r="L46" s="6">
        <f t="shared" si="2"/>
        <v>1.575</v>
      </c>
      <c r="M46" s="6">
        <v>6</v>
      </c>
      <c r="N46" s="6">
        <f>(SUM(M46:M46)/5)*0.5</f>
        <v>0.6</v>
      </c>
      <c r="O46" s="6">
        <f>L46+J46+F46</f>
        <v>4.1066666666666665</v>
      </c>
      <c r="P46" s="6">
        <f>INT(O46*10)/10+IF(MOD(O46*10,1)&gt;=0.5,0.1,0)</f>
        <v>4.0999999999999996</v>
      </c>
      <c r="Q46" s="1" t="str">
        <f>IF(O46&lt;3,3-O46,"No aplica")</f>
        <v>No aplica</v>
      </c>
    </row>
    <row r="47" spans="1:17">
      <c r="A47" s="27" t="s">
        <v>102</v>
      </c>
      <c r="B47" s="28"/>
      <c r="C47" s="27" t="s">
        <v>103</v>
      </c>
      <c r="D47" s="28"/>
      <c r="E47" s="5">
        <v>4.4000000000000004</v>
      </c>
      <c r="F47" s="1">
        <f t="shared" si="0"/>
        <v>0.22000000000000003</v>
      </c>
      <c r="G47" s="1">
        <v>5</v>
      </c>
      <c r="H47" s="1">
        <v>4.9000000000000004</v>
      </c>
      <c r="I47" s="1">
        <v>5</v>
      </c>
      <c r="J47" s="5">
        <f t="shared" si="1"/>
        <v>2.4833333333333334</v>
      </c>
      <c r="K47" s="1">
        <v>4</v>
      </c>
      <c r="L47" s="6">
        <f t="shared" si="2"/>
        <v>1.8</v>
      </c>
      <c r="M47" s="6"/>
      <c r="N47" s="6">
        <f>(SUM(M47:M47)/5)*0.5</f>
        <v>0</v>
      </c>
      <c r="O47" s="6">
        <f>L47+J47+F47</f>
        <v>4.503333333333333</v>
      </c>
      <c r="P47" s="6">
        <f>INT(O47*10)/10+IF(MOD(O47*10,1)&gt;=0.5,0.1,0)</f>
        <v>4.5</v>
      </c>
      <c r="Q47" s="1" t="str">
        <f>IF(O47&lt;3,3-O47,"No aplica")</f>
        <v>No aplica</v>
      </c>
    </row>
    <row r="48" spans="1:17">
      <c r="A48" s="32" t="s">
        <v>104</v>
      </c>
      <c r="B48" s="33"/>
      <c r="C48" s="32" t="s">
        <v>105</v>
      </c>
      <c r="D48" s="33"/>
      <c r="E48" s="5">
        <v>4.3</v>
      </c>
      <c r="F48" s="1">
        <f t="shared" si="0"/>
        <v>0.215</v>
      </c>
      <c r="G48" s="1">
        <v>5</v>
      </c>
      <c r="H48" s="1">
        <v>5</v>
      </c>
      <c r="I48" s="1">
        <v>4.7</v>
      </c>
      <c r="J48" s="5">
        <f t="shared" si="1"/>
        <v>2.4499999999999997</v>
      </c>
      <c r="K48" s="1">
        <v>3.7</v>
      </c>
      <c r="L48" s="6">
        <f t="shared" si="2"/>
        <v>1.665</v>
      </c>
      <c r="M48" s="6"/>
      <c r="N48" s="6">
        <f>(SUM(M48:M48)/5)*0.5</f>
        <v>0</v>
      </c>
      <c r="O48" s="6">
        <f>L48+J48+F48</f>
        <v>4.33</v>
      </c>
      <c r="P48" s="6">
        <f>INT(O48*10)/10+IF(MOD(O48*10,1)&gt;=0.5,0.1,0)</f>
        <v>4.3</v>
      </c>
      <c r="Q48" s="1" t="str">
        <f>IF(O48&lt;3,3-O48,"No aplica")</f>
        <v>No aplica</v>
      </c>
    </row>
    <row r="49" spans="1:17">
      <c r="A49" s="32" t="s">
        <v>106</v>
      </c>
      <c r="B49" s="33"/>
      <c r="C49" s="32" t="s">
        <v>107</v>
      </c>
      <c r="D49" s="33"/>
      <c r="E49" s="5">
        <v>4.9000000000000004</v>
      </c>
      <c r="F49" s="1">
        <f t="shared" si="0"/>
        <v>0.24500000000000002</v>
      </c>
      <c r="G49" s="1">
        <v>5</v>
      </c>
      <c r="H49" s="1">
        <v>4.5999999999999996</v>
      </c>
      <c r="I49" s="1">
        <v>3.9</v>
      </c>
      <c r="J49" s="5">
        <f t="shared" si="1"/>
        <v>2.25</v>
      </c>
      <c r="K49" s="1">
        <v>3.5</v>
      </c>
      <c r="L49" s="6">
        <f t="shared" si="2"/>
        <v>1.575</v>
      </c>
      <c r="M49" s="6"/>
      <c r="N49" s="6">
        <f>(SUM(M49:M49)/5)*0.5</f>
        <v>0</v>
      </c>
      <c r="O49" s="6">
        <f>L49+J49+F49</f>
        <v>4.07</v>
      </c>
      <c r="P49" s="6">
        <f>INT(O49*10)/10+IF(MOD(O49*10,1)&gt;=0.5,0.1,0)</f>
        <v>4.0999999999999996</v>
      </c>
      <c r="Q49" s="1" t="str">
        <f>IF(O49&lt;3,3-O49,"No aplica")</f>
        <v>No aplica</v>
      </c>
    </row>
    <row r="50" spans="1:17">
      <c r="A50" s="32" t="s">
        <v>108</v>
      </c>
      <c r="B50" s="33"/>
      <c r="C50" s="32" t="s">
        <v>109</v>
      </c>
      <c r="D50" s="33"/>
      <c r="E50" s="5">
        <v>5</v>
      </c>
      <c r="F50" s="1">
        <f t="shared" si="0"/>
        <v>0.25</v>
      </c>
      <c r="G50" s="1">
        <v>5</v>
      </c>
      <c r="H50" s="1">
        <v>4.9000000000000004</v>
      </c>
      <c r="I50" s="1">
        <v>5</v>
      </c>
      <c r="J50" s="5">
        <f t="shared" si="1"/>
        <v>2.4833333333333334</v>
      </c>
      <c r="K50" s="1">
        <v>4.9000000000000004</v>
      </c>
      <c r="L50" s="6">
        <f t="shared" si="2"/>
        <v>2.2050000000000001</v>
      </c>
      <c r="M50" s="6">
        <v>11</v>
      </c>
      <c r="N50" s="6">
        <f>(SUM(M50:M50)/5)*0.5</f>
        <v>1.1000000000000001</v>
      </c>
      <c r="O50" s="6">
        <f>L50+J50+F50</f>
        <v>4.9383333333333335</v>
      </c>
      <c r="P50" s="6">
        <f>INT(O50*10)/10+IF(MOD(O50*10,1)&gt;=0.5,0.1,0)</f>
        <v>4.9000000000000004</v>
      </c>
      <c r="Q50" s="1" t="str">
        <f>IF(O50&lt;3,3-O50,"No aplica")</f>
        <v>No aplica</v>
      </c>
    </row>
    <row r="51" spans="1:17">
      <c r="A51" s="32" t="s">
        <v>110</v>
      </c>
      <c r="B51" s="33"/>
      <c r="C51" s="32" t="s">
        <v>111</v>
      </c>
      <c r="D51" s="33"/>
      <c r="E51" s="5">
        <v>3.7</v>
      </c>
      <c r="F51" s="1">
        <f t="shared" si="0"/>
        <v>0.18500000000000003</v>
      </c>
      <c r="G51" s="1">
        <v>5</v>
      </c>
      <c r="H51" s="1">
        <v>4</v>
      </c>
      <c r="I51" s="1">
        <v>4.5</v>
      </c>
      <c r="J51" s="5">
        <f t="shared" si="1"/>
        <v>2.25</v>
      </c>
      <c r="K51" s="1">
        <v>3.9</v>
      </c>
      <c r="L51" s="6">
        <f t="shared" si="2"/>
        <v>1.7549999999999999</v>
      </c>
      <c r="M51" s="6">
        <v>1</v>
      </c>
      <c r="N51" s="6">
        <f>(SUM(M51:M51)/5)*0.5</f>
        <v>0.1</v>
      </c>
      <c r="O51" s="6">
        <f>L51+J51+F51</f>
        <v>4.1899999999999995</v>
      </c>
      <c r="P51" s="6">
        <f>INT(O51*10)/10+IF(MOD(O51*10,1)&gt;=0.5,0.1,0)</f>
        <v>4.1999999999999993</v>
      </c>
      <c r="Q51" s="1" t="str">
        <f>IF(O51&lt;3,3-O51,"No aplica")</f>
        <v>No aplica</v>
      </c>
    </row>
    <row r="52" spans="1:17">
      <c r="A52" s="32" t="s">
        <v>112</v>
      </c>
      <c r="B52" s="33"/>
      <c r="C52" s="32" t="s">
        <v>113</v>
      </c>
      <c r="D52" s="33"/>
      <c r="E52" s="5">
        <v>4.95</v>
      </c>
      <c r="F52" s="1">
        <f t="shared" si="0"/>
        <v>0.24750000000000003</v>
      </c>
      <c r="G52" s="1">
        <v>5</v>
      </c>
      <c r="H52" s="1">
        <v>4.8</v>
      </c>
      <c r="I52" s="1">
        <v>4.7</v>
      </c>
      <c r="J52" s="5">
        <f t="shared" si="1"/>
        <v>2.4166666666666665</v>
      </c>
      <c r="K52" s="1">
        <v>5</v>
      </c>
      <c r="L52" s="6">
        <f t="shared" si="2"/>
        <v>2.25</v>
      </c>
      <c r="M52" s="6"/>
      <c r="N52" s="6">
        <f>(SUM(M52:M52)/5)*0.5</f>
        <v>0</v>
      </c>
      <c r="O52" s="6">
        <f>L52+J52+F52</f>
        <v>4.9141666666666657</v>
      </c>
      <c r="P52" s="6">
        <f>INT(O52*10)/10+IF(MOD(O52*10,1)&gt;=0.5,0.1,0)</f>
        <v>4.9000000000000004</v>
      </c>
      <c r="Q52" s="1" t="str">
        <f>IF(O52&lt;3,3-O52,"No aplica")</f>
        <v>No aplica</v>
      </c>
    </row>
  </sheetData>
  <mergeCells count="102">
    <mergeCell ref="A50:B50"/>
    <mergeCell ref="C50:D50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  <mergeCell ref="A44:B44"/>
    <mergeCell ref="C44:D44"/>
    <mergeCell ref="A45:B45"/>
    <mergeCell ref="C45:D45"/>
    <mergeCell ref="A46:B46"/>
    <mergeCell ref="C46:D46"/>
    <mergeCell ref="A41:B41"/>
    <mergeCell ref="C41:D41"/>
    <mergeCell ref="A42:B42"/>
    <mergeCell ref="C42:D42"/>
    <mergeCell ref="A43:B43"/>
    <mergeCell ref="C43:D43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0:B10"/>
    <mergeCell ref="C10:D10"/>
    <mergeCell ref="A4:B4"/>
    <mergeCell ref="C4:I4"/>
    <mergeCell ref="A6:D6"/>
    <mergeCell ref="G6:I6"/>
    <mergeCell ref="A7:B7"/>
    <mergeCell ref="C7:D7"/>
    <mergeCell ref="A14:B14"/>
    <mergeCell ref="C14:D14"/>
    <mergeCell ref="A1:B1"/>
    <mergeCell ref="C1:I1"/>
    <mergeCell ref="A2:B2"/>
    <mergeCell ref="C2:I2"/>
    <mergeCell ref="A3:B3"/>
    <mergeCell ref="C3:I3"/>
    <mergeCell ref="A8:B8"/>
    <mergeCell ref="C8:D8"/>
    <mergeCell ref="A9:B9"/>
    <mergeCell ref="C9:D9"/>
  </mergeCells>
  <conditionalFormatting sqref="E8:E52">
    <cfRule type="expression" dxfId="9" priority="3">
      <formula>E8&lt;3</formula>
    </cfRule>
    <cfRule type="expression" dxfId="8" priority="4">
      <formula>E8&gt;=3</formula>
    </cfRule>
  </conditionalFormatting>
  <conditionalFormatting sqref="G8:I52">
    <cfRule type="expression" dxfId="7" priority="11">
      <formula>G8&lt;3</formula>
    </cfRule>
  </conditionalFormatting>
  <conditionalFormatting sqref="G8:I52">
    <cfRule type="expression" dxfId="6" priority="2">
      <formula>G8&gt;=3</formula>
    </cfRule>
  </conditionalFormatting>
  <conditionalFormatting sqref="K8:K52">
    <cfRule type="expression" dxfId="5" priority="9">
      <formula>K8&gt;=3</formula>
    </cfRule>
    <cfRule type="expression" dxfId="4" priority="10">
      <formula>K8&lt;3</formula>
    </cfRule>
  </conditionalFormatting>
  <conditionalFormatting sqref="M8:M52">
    <cfRule type="cellIs" dxfId="3" priority="5" operator="greaterThan">
      <formula>0</formula>
    </cfRule>
    <cfRule type="containsBlanks" dxfId="2" priority="6">
      <formula>LEN(TRIM(M8))=0</formula>
    </cfRule>
  </conditionalFormatting>
  <conditionalFormatting sqref="O8:O52">
    <cfRule type="expression" dxfId="1" priority="7">
      <formula>O8&gt;=3</formula>
    </cfRule>
    <cfRule type="expression" dxfId="0" priority="8">
      <formula>O8&lt;3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2026-06-01T03:37:44Z</dcterms:modified>
  <cp:category/>
  <cp:contentStatus/>
</cp:coreProperties>
</file>